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rategy Library" sheetId="1" state="visible" r:id="rId3"/>
    <sheet name="Venue Landscape" sheetId="2" state="visible" r:id="rId4"/>
    <sheet name="Scoring Rubric" sheetId="3" state="visible" r:id="rId5"/>
    <sheet name="Infrastructure Map" sheetId="4" state="visible" r:id="rId6"/>
    <sheet name="Build Roadmap" sheetId="5" state="visible" r:id="rId7"/>
  </sheets>
  <definedNames>
    <definedName function="false" hidden="true" localSheetId="0" name="_xlnm._FilterDatabase" vbProcedure="false">'Strategy Library'!$A$1:$Y$1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<sst xmlns="http://schemas.openxmlformats.org/spreadsheetml/2006/main" count="648" uniqueCount="511">
  <si>
    <t xml:space="preserve">Pod ID</t>
  </si>
  <si>
    <t xml:space="preserve">Pod Name</t>
  </si>
  <si>
    <t xml:space="preserve">Family</t>
  </si>
  <si>
    <t xml:space="preserve">Description</t>
  </si>
  <si>
    <t xml:space="preserve">Fair-Value Source</t>
  </si>
  <si>
    <t xml:space="preserve">Execution Venue</t>
  </si>
  <si>
    <t xml:space="preserve">Market Type</t>
  </si>
  <si>
    <t xml:space="preserve">Edge Mechanism</t>
  </si>
  <si>
    <t xml:space="preserve">Est. Edge (bps)</t>
  </si>
  <si>
    <t xml:space="preserve">Capacity ($/day)</t>
  </si>
  <si>
    <t xml:space="preserve">Build Speed (1-5)</t>
  </si>
  <si>
    <t xml:space="preserve">EV Clarity (1-5)</t>
  </si>
  <si>
    <t xml:space="preserve">Robustness (1-5)</t>
  </si>
  <si>
    <t xml:space="preserve">Capacity Score (1-5)</t>
  </si>
  <si>
    <t xml:space="preserve">Ops Complexity (1-5)</t>
  </si>
  <si>
    <t xml:space="preserve">Diversification (1-5)</t>
  </si>
  <si>
    <t xml:space="preserve">Composite Score</t>
  </si>
  <si>
    <t xml:space="preserve">MVP Path</t>
  </si>
  <si>
    <t xml:space="preserve">Key Risks</t>
  </si>
  <si>
    <t xml:space="preserve">Data Sources / APIs</t>
  </si>
  <si>
    <t xml:space="preserve">Infrastructure Reuse</t>
  </si>
  <si>
    <t xml:space="preserve">Status</t>
  </si>
  <si>
    <t xml:space="preserve">Build Tier</t>
  </si>
  <si>
    <t xml:space="preserve">Build Order</t>
  </si>
  <si>
    <t xml:space="preserve">Shared Infra Deps</t>
  </si>
  <si>
    <t xml:space="preserve">P-001</t>
  </si>
  <si>
    <t xml:space="preserve">Kalshi Moneyline Value</t>
  </si>
  <si>
    <t xml:space="preserve">Cross-Venue Discrepancy</t>
  </si>
  <si>
    <t xml:space="preserve">Compares multi-bookmaker consensus fair probability (via The Odds API, Pinnacle-weighted) against Kalshi moneyline contract pricing. Buys YES or NO when edge &gt; 3% and EV &gt; 1c after 7% Kalshi fee. Quarter-Kelly sizing with 3% max bet cap.</t>
  </si>
  <si>
    <t xml:space="preserve">The Odds API (multi-book consensus, Pinnacle-weighted)</t>
  </si>
  <si>
    <t xml:space="preserve">Kalshi</t>
  </si>
  <si>
    <t xml:space="preserve">Sports Moneyline (NFL, NBA, Tennis, Hockey)</t>
  </si>
  <si>
    <t xml:space="preserve">Book consensus devig vs. Kalshi mid-price mispricing</t>
  </si>
  <si>
    <t xml:space="preserve">300-500</t>
  </si>
  <si>
    <t xml:space="preserve">$200-500</t>
  </si>
  <si>
    <t xml:space="preserve">BUILT. Running paper trades. Scanner, dashboard, backtester, settlement, risk management, learner all operational. 750+ unit tests passing.</t>
  </si>
  <si>
    <t xml:space="preserve">Kalshi fee changes; bookmaker consensus stale on breaking news; moneyline-only limits capacity; Kalshi API rate limits at Basic tier</t>
  </si>
  <si>
    <t xml:space="preserve">The Odds API (REST, TTL cache); Kalshi API (REST + WSS); structlog JSON logging; YAML config</t>
  </si>
  <si>
    <t xml:space="preserve">Foundation: edge_calculator, risk_manager, settler, backtester, dashboard, learner all reusable by future pods</t>
  </si>
  <si>
    <t xml:space="preserve">LIVE (paper)</t>
  </si>
  <si>
    <t xml:space="preserve">BUILT</t>
  </si>
  <si>
    <t xml:space="preserve">—</t>
  </si>
  <si>
    <t xml:space="preserve">ALL (foundation pod)</t>
  </si>
  <si>
    <t xml:space="preserve">P-002</t>
  </si>
  <si>
    <t xml:space="preserve">Kalshi-Polymarket Cross-Venue Scanner</t>
  </si>
  <si>
    <t xml:space="preserve">Monitors identical or near-identical binary contracts on both Kalshi and Polymarket simultaneously. When YES_Kalshi + NO_Polymarket &lt; $0.97 (or vice versa), executes both legs to lock in risk-free profit. Targets sports, politics, and economics markets with confirmed settlement-source alignment.</t>
  </si>
  <si>
    <t xml:space="preserve">Polymarket CLOB (real-time prices); Kalshi API (real-time prices); cross-validate settlement terms</t>
  </si>
  <si>
    <t xml:space="preserve">Kalshi + Polymarket (simultaneous dual-leg)</t>
  </si>
  <si>
    <t xml:space="preserve">Sports, Politics, Economics — any binary contract listed on both venues</t>
  </si>
  <si>
    <t xml:space="preserve">Pure cross-venue price discrepancy: buy underpriced YES on one venue, buy NO on other, guarantee $1 payout minus fees</t>
  </si>
  <si>
    <t xml:space="preserve">150-300</t>
  </si>
  <si>
    <t xml:space="preserve">$500-2,000</t>
  </si>
  <si>
    <t xml:space="preserve">Build Polymarket CLOB client (py-clob-client); add event-matching layer between venues; dual-leg execution with rollback on partial fill; reuse edge_calculator for threshold checks.</t>
  </si>
  <si>
    <t xml:space="preserve">Settlement source mismatch (different resolution criteria); partial fills leaving unhedged position; Kalshi fees erode thin arbs (&lt;3.5% minimum spread needed); latency competition from 40+ GitHub bots</t>
  </si>
  <si>
    <t xml:space="preserve">Kalshi REST+WSS; Polymarket CLOB REST+WSS; py-clob-client; event-matching NLP layer</t>
  </si>
  <si>
    <t xml:space="preserve">Reuses: edge_calculator (threshold), risk_manager (exposure), settler (P&amp;L). New: Polymarket client, event matcher, dual-leg executor.</t>
  </si>
  <si>
    <t xml:space="preserve">PLANNED</t>
  </si>
  <si>
    <t xml:space="preserve">T2</t>
  </si>
  <si>
    <t xml:space="preserve">Polymarket Client [from T1], Event Matcher [NEW], Dual-Leg Executor [NEW], edge_calculator, risk_manager, settler</t>
  </si>
  <si>
    <t xml:space="preserve">P-003</t>
  </si>
  <si>
    <t xml:space="preserve">Crypto 15-Min Flash Arb</t>
  </si>
  <si>
    <t xml:space="preserve">Targets 15-minute BTC/ETH up/down markets on Polymarket vs equivalent Kalshi contracts. Monitors Binance/Coinbase spot prices via WebSocket; when direction is confirmed (e.g. BTC up in last 10 min), buys confirmed outcome on slower venue before it reprices. Documented 78-98% win rates in 2025.</t>
  </si>
  <si>
    <t xml:space="preserve">Binance WebSocket (4-13ms spot data); Coinbase Exchange Rates API</t>
  </si>
  <si>
    <t xml:space="preserve">Kalshi + Polymarket (buy lagging venue)</t>
  </si>
  <si>
    <t xml:space="preserve">Crypto price prediction (15-minute binary: up/down)</t>
  </si>
  <si>
    <t xml:space="preserve">Latency arb: spot exchange confirms direction 200-800ms before prediction market reprices</t>
  </si>
  <si>
    <t xml:space="preserve">80-150</t>
  </si>
  <si>
    <t xml:space="preserve">$600-3,750</t>
  </si>
  <si>
    <t xml:space="preserve">Build Binance WSS price monitor; map crypto contracts across venues; sub-500ms end-to-end execution pipeline; auto-detect 15-min market creation windows.</t>
  </si>
  <si>
    <t xml:space="preserve">Sub-500ms latency required (competing against institutional bots with sub-5ms); Polymarket 10% taker fee on 15-min crypto markets reduces edge; market creation is the bottleneck (not always available); unhedged if one venue goes down</t>
  </si>
  <si>
    <t xml:space="preserve">Binance WebSocket; Coinbase API; Kalshi REST/WSS; Polymarket CLOB WSS</t>
  </si>
  <si>
    <t xml:space="preserve">Reuses: risk_manager, settler. New: Binance price monitor, crypto contract mapper, latency-optimized executor.</t>
  </si>
  <si>
    <t xml:space="preserve">T3</t>
  </si>
  <si>
    <t xml:space="preserve">Polymarket Client [from T1], Binance WSS Monitor [NEW], Latency Executor [NEW]</t>
  </si>
  <si>
    <t xml:space="preserve">P-004</t>
  </si>
  <si>
    <t xml:space="preserve">ForecastEx-Kalshi Econ Arb</t>
  </si>
  <si>
    <t xml:space="preserve">Identifies price discrepancies between IB ForecastEx and Kalshi on identical economic events (Fed rate decisions, CPI, GDP, jobs). ForecastEx offers 0% commission + 3.14% APY coupon; Kalshi charges scaled fees. Buy underpriced side on ForecastEx, sell overpriced on Kalshi. Fed research confirms Kalshi has perfect day-before FOMC forecast record.</t>
  </si>
  <si>
    <t xml:space="preserve">ForecastEx prices (TWS API); Kalshi prices (REST/WSS); FRED/BLS data for fair value validation</t>
  </si>
  <si>
    <t xml:space="preserve">IB ForecastEx + Kalshi (dual-leg)</t>
  </si>
  <si>
    <t xml:space="preserve">Economics (Fed rate, CPI, GDP, unemployment, jobs)</t>
  </si>
  <si>
    <t xml:space="preserve">Cross-venue price discrepancy on identical CFTC-regulated economic contracts; ForecastEx coupon provides carry advantage</t>
  </si>
  <si>
    <t xml:space="preserve">50-150</t>
  </si>
  <si>
    <t xml:space="preserve">$200-1,000</t>
  </si>
  <si>
    <t xml:space="preserve">Build IB ForecastEx connector via ib_insync (secType=OPT, exchange=FORECASTX); event matching between ForecastEx symbol format and Kalshi tickers; reuse edge_calculator with adjusted fee model (0% ForecastEx vs scaled Kalshi).</t>
  </si>
  <si>
    <t xml:space="preserve">ForecastEx can't short directly (buy opposing to exit); contract discovery requires ForecastTrader UI (no symbol list API); liquidity thin on ForecastEx; TWS API connection reliability; 3.14% APY only material on 6+ month holds</t>
  </si>
  <si>
    <t xml:space="preserve">IB TWS API (ib_insync); Kalshi REST+WSS; FRED API (free); BLS data releases</t>
  </si>
  <si>
    <t xml:space="preserve">Reuses: edge_calculator (adjusted fees), risk_manager, settler. New: IB ForecastEx connector, ForecastEx symbol resolver, carry tracker.</t>
  </si>
  <si>
    <t xml:space="preserve">IB ForecastEx Connector [NEW], edge_calculator, risk_manager, settler</t>
  </si>
  <si>
    <t xml:space="preserve">P-005</t>
  </si>
  <si>
    <t xml:space="preserve">ForecastEx Yield Carry</t>
  </si>
  <si>
    <t xml:space="preserve">Holds ForecastEx positions to capture 3.14% APY incentive coupon while hedging on Kalshi or Polymarket. Targets long-dated events (6+ month expiry) where coupon accrual is material. Dynamic monthly rebalancing as probabilities drift. Coupon accrues on daily market close value, even on losing positions.</t>
  </si>
  <si>
    <t xml:space="preserve">ForecastEx closing prices (daily); Kalshi/Polymarket prices for hedge leg</t>
  </si>
  <si>
    <t xml:space="preserve">IB ForecastEx (long) + Kalshi or Polymarket (hedge)</t>
  </si>
  <si>
    <t xml:space="preserve">Any long-dated binary event: politics (elections), economics (annual targets), climate</t>
  </si>
  <si>
    <t xml:space="preserve">Carry trade: earn 3.14% APY on collateral while maintaining market-neutral hedge; rebalance monthly to capture basis drift</t>
  </si>
  <si>
    <t xml:space="preserve">26-35</t>
  </si>
  <si>
    <t xml:space="preserve">$100-500</t>
  </si>
  <si>
    <t xml:space="preserve">Extend IB connector (from P-004) with position tracking and coupon accrual monitoring; build monthly rebalance scheduler; hedge cost calculator comparing Kalshi vs Polymarket leg costs.</t>
  </si>
  <si>
    <t xml:space="preserve">Basis risk (settlement source differences between venues); hedge leg cost may exceed coupon (need &gt;5% gap); capital locked for months; ForecastEx liquidity thin on long-dated contracts; rebalance slippage</t>
  </si>
  <si>
    <t xml:space="preserve">IB TWS API; Kalshi REST; Polymarket CLOB; coupon accrual reports (IB statements)</t>
  </si>
  <si>
    <t xml:space="preserve">Reuses: risk_manager (exposure tracking), settler. New: carry accrual tracker, rebalance scheduler, IB statement parser. Extends P-004 ForecastEx connector.</t>
  </si>
  <si>
    <t xml:space="preserve">T4</t>
  </si>
  <si>
    <t xml:space="preserve">IB ForecastEx Connector [from T2], Carry Tracker [NEW], Rebalance Scheduler [NEW]</t>
  </si>
  <si>
    <t xml:space="preserve">P-006</t>
  </si>
  <si>
    <t xml:space="preserve">Sportsbook-Polymarket Consensus</t>
  </si>
  <si>
    <t xml:space="preserve">Extends existing P-001 scanner logic to execute on Polymarket instead of Kalshi. Uses The Odds API multi-bookmaker consensus (Pinnacle-weighted) as fair value, scans Polymarket sports markets for mispricing. Polymarket's 0% fee structure means lower edge threshold (no Kalshi fee drag). Direct reuse of existing edge_calculator and matcher with new execution venue.</t>
  </si>
  <si>
    <t xml:space="preserve">The Odds API (multi-book consensus, Pinnacle-weighted) — same as P-001</t>
  </si>
  <si>
    <t xml:space="preserve">Polymarket</t>
  </si>
  <si>
    <t xml:space="preserve">Sports (NFL, NBA, MLB, NHL, Tennis, MMA — Polymarket has ~3,242 active sports markets)</t>
  </si>
  <si>
    <t xml:space="preserve">Same as P-001: devigged book consensus vs venue mid-price mispricing, but zero-fee execution venue enables capture of thinner edges</t>
  </si>
  <si>
    <t xml:space="preserve">200-400</t>
  </si>
  <si>
    <t xml:space="preserve">$300-1,500</t>
  </si>
  <si>
    <t xml:space="preserve">Build Polymarket execution client; adapt matcher for Polymarket naming conventions; adjust edge_calculator fee parameter to 0%; reuse scanner orchestration pattern. Fastest new pod to build given P-001 foundation.</t>
  </si>
  <si>
    <t xml:space="preserve">Polymarket sports taker fees piloting Feb 2026 (NCAA, Serie A — may expand); Polymarket naming conventions differ from Kalshi (need new matching rules); USDC-only (need Polygon deposit flow); liquidity varies by sport</t>
  </si>
  <si>
    <t xml:space="preserve">The Odds API (existing); Polymarket CLOB REST+WSS; py-clob-client</t>
  </si>
  <si>
    <t xml:space="preserve">Reuses: edge_calculator (fee=0%), matcher (adapted), risk_manager, settler, backtester, dashboard. New: Polymarket client, Polymarket matcher rules.</t>
  </si>
  <si>
    <t xml:space="preserve">T1</t>
  </si>
  <si>
    <t xml:space="preserve">Polymarket Client [NEW], edge_calculator, matcher, risk_manager, settler, backtester, dashboard</t>
  </si>
  <si>
    <t xml:space="preserve">P-007</t>
  </si>
  <si>
    <t xml:space="preserve">Econ Data Release Stale-Line</t>
  </si>
  <si>
    <t xml:space="preserve">Captures stale prices on Kalshi economic contracts (CPI, NFP, FOMC) in the 10-30 second window after official data releases. Monitors BLS/Fed release feeds; when actual data diverges from expectations, immediately buys confirmed-direction contracts before Kalshi fully reprices. Fed research shows Kalshi leads CME futures but still has 2-5 second repricing lag after releases.</t>
  </si>
  <si>
    <t xml:space="preserve">BLS/FRED data releases (real-time); Reuters/CoinAPI economic calendar; CME FedWatch for baseline expectations</t>
  </si>
  <si>
    <t xml:space="preserve">Kalshi (economic event contracts)</t>
  </si>
  <si>
    <t xml:space="preserve">Economics: CPI, NFP, GDP, FOMC rate decisions, unemployment rate</t>
  </si>
  <si>
    <t xml:space="preserve">Information speed advantage: parse official release 2-5 seconds before Kalshi market fully adjusts</t>
  </si>
  <si>
    <t xml:space="preserve">$200-800</t>
  </si>
  <si>
    <t xml:space="preserve">Build economic data release parser (BLS/FRED format); expectations tracker (consensus vs actual); fast Kalshi order placement via WSS; event-triggered execution with sub-second latency target.</t>
  </si>
  <si>
    <t xml:space="preserve">10 major releases/month limits frequency; requires news feed subscription ($100-$10K/mo); competing against HFT with sub-5ms latency; liquidity evaporates post-release; 50% win rate realistic (half the time market moves too fast); slippage on thin books</t>
  </si>
  <si>
    <t xml:space="preserve">BLS data API (free); FRED API (free); Kalshi WSS; economic calendar feeds; Reuters/CoinAPI (paid)</t>
  </si>
  <si>
    <t xml:space="preserve">Reuses: edge_calculator, risk_manager, settler. New: BLS/FRED release parser, expectations tracker, event-triggered executor.</t>
  </si>
  <si>
    <t xml:space="preserve">Econ Release Parser [NEW], Expectations Tracker [NEW], Event-Triggered Executor [NEW]</t>
  </si>
  <si>
    <t xml:space="preserve">P-008</t>
  </si>
  <si>
    <t xml:space="preserve">Options IV-to-Probability Rel Value</t>
  </si>
  <si>
    <t xml:space="preserve">Extracts risk-neutral probability distributions from IB options chains (SPY, QQQ, individual stocks) using Breeden-Litzenberger/SABR and compares to Kalshi/Polymarket/ForecastEx binary contract prices. When options-implied probability diverges &gt;5% from prediction market price, takes relative value position. Documented: earnings straddles overprice actual moves by 1-4 vol points; prediction markets lag options on corporate events.</t>
  </si>
  <si>
    <t xml:space="preserve">IB TWS API (full options chains + Greeks + IV surfaces); Volatility Lab data; historical vol surfaces</t>
  </si>
  <si>
    <t xml:space="preserve">Kalshi or ForecastEx (prediction market leg) + IB options (hedging leg)</t>
  </si>
  <si>
    <t xml:space="preserve">Earnings moves, Fed decisions, election vol, any event with both options and prediction contracts</t>
  </si>
  <si>
    <t xml:space="preserve">Risk-neutral density extraction from options vs prediction market implied probability; exploit systematic mispricing between derivatives and binary markets</t>
  </si>
  <si>
    <t xml:space="preserve">200-600</t>
  </si>
  <si>
    <t xml:space="preserve">$1,000-5,000</t>
  </si>
  <si>
    <t xml:space="preserve">Build SABR vol surface calibrator; implement Breeden-Litzenberger RND extraction; options chain fetcher via ib_insync; probability comparator vs prediction market prices; delta-hedging engine for options leg. Most complex pod to build.</t>
  </si>
  <si>
    <t xml:space="preserve">Vol surface calibration requires 5-7 strikes/expiry minimum; options bid-ask 10-20x tighter than prediction markets (asymmetric friction); delta/vega hedging adds ongoing cost; SABR calibration error 0.5-2%; requires $1M+ for options margin; risk-neutral ≠ real-world probability (systematic risk premium bias)</t>
  </si>
  <si>
    <t xml:space="preserve">IB TWS API (options chains, Greeks, IV); ib_insync; scipy (SABR calibration); Kalshi/Polymarket APIs</t>
  </si>
  <si>
    <t xml:space="preserve">Reuses: risk_manager (extended for Greeks). New: SABR calibrator, RND extractor, options chain fetcher, delta hedger, probability comparator. Heaviest infrastructure build.</t>
  </si>
  <si>
    <t xml:space="preserve">RESEARCH</t>
  </si>
  <si>
    <t xml:space="preserve">SABR Calibrator [NEW], RND Extractor [NEW], Options Chain Fetcher [NEW], Delta Hedger [NEW]</t>
  </si>
  <si>
    <t xml:space="preserve">P-009</t>
  </si>
  <si>
    <t xml:space="preserve">Sportsbook Sign-Up Bonus Blitz</t>
  </si>
  <si>
    <t xml:space="preserve">Incentive/Promo</t>
  </si>
  <si>
    <t xml:space="preserve">Systematic conversion of sign-up bonuses across FanDuel ($100-300 bonus bets), DraftKings ($200 bonus bets), BetMGM, Caesars, and Fanatics across multiple US states. Uses matched betting: place bonus bet on underdog, hedge on another book (ideally Pinnacle for tightest lines). 70-80% conversion rate documented. Semi-automated: EV calc + hedge sizing automated, bet placement manual.</t>
  </si>
  <si>
    <t xml:space="preserve">OddsJam / DarkHorse Odds (bonus detection + conversion calculator); Pinnacle lines for optimal hedge</t>
  </si>
  <si>
    <t xml:space="preserve">FanDuel, DraftKings, BetMGM, Caesars (promo bets) + Pinnacle or Kalshi (hedge)</t>
  </si>
  <si>
    <t xml:space="preserve">Sports moneylines (any sport with tight lines for hedging)</t>
  </si>
  <si>
    <t xml:space="preserve">Convert bonus bet face value to guaranteed cash via hedging; bonus bet only returns winnings (not stake), creating asymmetry exploitable through matched betting</t>
  </si>
  <si>
    <t xml:space="preserve">7000-8000</t>
  </si>
  <si>
    <t xml:space="preserve">$140-320 per book (one-time)</t>
  </si>
  <si>
    <t xml:space="preserve">Create account tracker (book, state, bonus status, conversion amount). Integrate edge_calculator for hedge sizing. Build conversion workflow template. 4 books x 3 states = 12 conversions in month 1.</t>
  </si>
  <si>
    <t xml:space="preserve">One-time per person per book per state (finite); gubbing risk within 2-4 weeks of sharp activity; must use priming strategy (mush bets); FanDuel/DraftKings ToS allow bonus conversion but frown on systematic approach; KYC requirements limit multi-state scaling</t>
  </si>
  <si>
    <t xml:space="preserve">OddsJam ($39-199/mo); DarkHorse Odds ($39/mo); The Odds API (hedge line comparison); manual bet placement</t>
  </si>
  <si>
    <t xml:space="preserve">Reuses: edge_calculator (hedge sizing), risk_manager (bankroll tracking). New: account tracker, conversion workflow, priming schedule.</t>
  </si>
  <si>
    <t xml:space="preserve">edge_calculator, risk_manager</t>
  </si>
  <si>
    <t xml:space="preserve">P-010</t>
  </si>
  <si>
    <t xml:space="preserve">Daily Odds Boost Grind</t>
  </si>
  <si>
    <t xml:space="preserve">Systematic capture of +EV daily odds boosts from FanDuel, DraftKings, BetMGM, and Caesars. Boosts raise odds 10-40% on select bets; when boosted odds exceed fair probability (from Pinnacle devig), the bet is +EV. Hedge on opposing book or take naked +EV if Kelly-optimal. DraftKings+ subscription ($20/mo) adds unlimited parlay boost tokens. Semi-automated: boost detection + EV calc automated, placement manual.</t>
  </si>
  <si>
    <t xml:space="preserve">OddsJam / Unabated (boost scanner + EV alert); Pinnacle lines (fair-value baseline); The Odds API (cross-book hedge lines)</t>
  </si>
  <si>
    <t xml:space="preserve">FanDuel, DraftKings, BetMGM, Caesars (boost bets) + Pinnacle or Kalshi (hedge)</t>
  </si>
  <si>
    <t xml:space="preserve">Sports: whatever market the boost targets (moneyline, totals, player props)</t>
  </si>
  <si>
    <t xml:space="preserve">Boosted odds exceed true probability → positive EV. Hedge converts to guaranteed profit; naked +EV relies on volume and edge persistence (Kelly-optimal long-run profit)</t>
  </si>
  <si>
    <t xml:space="preserve">200-500</t>
  </si>
  <si>
    <t xml:space="preserve">$500-900 per account/month</t>
  </si>
  <si>
    <t xml:space="preserve">Build boost alert monitor (OddsJam webhook or scraper). Integrate edge_calculator with boost-specific EV formula (boosted_odds vs fair_odds). Hedge sizing calculator. Daily tracking spreadsheet. Account health monitor (bet frequency, pattern analysis).</t>
  </si>
  <si>
    <t xml:space="preserve">Gubbing timeline: 2-4 weeks of aggressive boost grinding → max bet limits reduced to $10-25; must avoid max-bet on every boost (use 75-90% of max); round bet amounts; mix in recreational bets; DraftKings+ parlay boosts require -500+ odds legs; account rotation across states needed for sustainability</t>
  </si>
  <si>
    <t xml:space="preserve">OddsJam ($39-199/mo); DarkHorse Odds; The Odds API; manual placement on book apps</t>
  </si>
  <si>
    <t xml:space="preserve">Reuses: edge_calculator (EV computation), risk_manager (bankroll + Kelly). New: boost scanner integration, account health tracker, gubbing risk model.</t>
  </si>
  <si>
    <t xml:space="preserve">P-011</t>
  </si>
  <si>
    <t xml:space="preserve">Political Fair-Value Model</t>
  </si>
  <si>
    <t xml:space="preserve">Fair-Odds Baseline</t>
  </si>
  <si>
    <t xml:space="preserve">Builds independent fair probability estimates for political prediction markets (elections, policy, confirmations) using Bayesian aggregation of poll aggregators (538, RCP, Silver Bulletin), superforecaster ensembles (Metaculus, Good Judgment), and historical base rates. When model estimate diverges &gt;5% from Kalshi/Polymarket price, takes position. Superforecasters documented to beat markets by 30% on Brier score. Kalshi accuracy: 78% on political markets.</t>
  </si>
  <si>
    <t xml:space="preserve">538/RealClearPolitics APIs (poll aggregation); Metaculus API (forecaster median); historical base rate database; Silver Bulletin</t>
  </si>
  <si>
    <t xml:space="preserve">Kalshi + Polymarket (whichever offers better price for the mispriced direction)</t>
  </si>
  <si>
    <t xml:space="preserve">Political: elections (presidential, Senate, House, governor), policy decisions, cabinet confirmations, executive orders</t>
  </si>
  <si>
    <t xml:space="preserve">Bayesian ensemble: w=0.30×polls + 0.20×base_rates + 0.35×forecasters + 0.15×market → fair probability. Trade when |fair - market| &gt; 5%</t>
  </si>
  <si>
    <t xml:space="preserve">Build polling data pipeline (538 + RCP scrapers or APIs). Metaculus API integration. Historical base rate database (Senate confirmations 90%, incumbent advantage, etc.). Bayesian weighting engine. Signal generator when model diverges from market. Backtest on 2020-2024 political outcomes.</t>
  </si>
  <si>
    <t xml:space="preserve">Polling errors can be systematic (2016/2020 underestimated Republican vote by 2-3%); markets sometimes capture information polls miss (shy voters); resolution criteria differences between venues; low frequency (election cycles); model weights require calibration data; political volatility (single event can flip probabilities 20%+)</t>
  </si>
  <si>
    <t xml:space="preserve">538 API (free); RealClearPolitics (scrape); Metaculus API (free); Good Judgment public forecasts; Kalshi+Polymarket APIs</t>
  </si>
  <si>
    <t xml:space="preserve">Reuses: edge_calculator (threshold + sizing), risk_manager, settler. New: poll aggregator pipeline, Metaculus connector, base rate DB, Bayesian ensemble engine.</t>
  </si>
  <si>
    <t xml:space="preserve">Poll Aggregator Pipeline [NEW], Metaculus Connector [NEW], Bayesian Ensemble [NEW]</t>
  </si>
  <si>
    <t xml:space="preserve">P-012</t>
  </si>
  <si>
    <t xml:space="preserve">Macro Economic Nowcast</t>
  </si>
  <si>
    <t xml:space="preserve">Uses Federal Reserve nowcasting models (Cleveland Fed CPI nowcast, Atlanta Fed GDPNow) combined with Survey of Professional Forecasters and TIPS breakeven rates to build fair-value estimates for Kalshi economic contracts. Kalshi beat Bloomberg consensus in 11/13 months on CPI. Fed research confirms Kalshi has perfect FOMC day-before record. When model estimate diverges from Kalshi bins, takes position.</t>
  </si>
  <si>
    <t xml:space="preserve">Cleveland Fed CPI nowcast (daily, free); Atlanta Fed GDPNow (daily, free); SPF (quarterly, free); TIPS breakeven (IB real-time); CME FedWatch</t>
  </si>
  <si>
    <t xml:space="preserve">Kalshi (economic event contracts: CPI, GDP, unemployment, Fed rate)</t>
  </si>
  <si>
    <t xml:space="preserve">Economics: monthly CPI, quarterly GDP, monthly NFP/unemployment, 8x/year FOMC rate decisions</t>
  </si>
  <si>
    <t xml:space="preserve">Three-tier fair value: 50% Fed nowcasts + 30% survey consensus (bias-adjusted) + 20% market signals (TIPS, Fed funds curve). Trade when Kalshi bins diverge from model</t>
  </si>
  <si>
    <t xml:space="preserve">300-800</t>
  </si>
  <si>
    <t xml:space="preserve">Build nowcast data pipeline (Cleveland Fed + Atlanta Fed + FRED APIs, all free). SPF parser (quarterly PDF/CSV). TIPS breakeven calculator from IB bond data. Fair-value engine with three-tier weighting. Kalshi bin comparison + position sizing. Backtest on 2022-2025 releases.</t>
  </si>
  <si>
    <t xml:space="preserve">12 CPI + 4 GDP + 12 NFP + 8 FOMC = 36 events/year (limited frequency); nowcasts can shift significantly in final 48 hours; Kalshi liquidity thin on economic bins (slippage on $50K+); model weights need recalibration quarterly; SPF has known overconfidence bias (53% confidence, 23% accuracy on ranges)</t>
  </si>
  <si>
    <t xml:space="preserve">Cleveland Fed nowcast (free API); Atlanta Fed GDPNow (free); FRED API (free); SPF data (Philly Fed, free); IB TWS API (TIPS data); Kalshi API</t>
  </si>
  <si>
    <t xml:space="preserve">Reuses: edge_calculator (threshold), risk_manager, settler. New: nowcast pipeline, SPF parser, TIPS calculator, three-tier ensemble engine.</t>
  </si>
  <si>
    <t xml:space="preserve">Nowcast Pipeline [NEW], edge_calculator, risk_manager, settler</t>
  </si>
  <si>
    <t xml:space="preserve">P-013</t>
  </si>
  <si>
    <t xml:space="preserve">Crypto Derivatives Fair-Value</t>
  </si>
  <si>
    <t xml:space="preserve">Extracts probability distributions from Deribit BTC/ETH options (using volatility smile + Breeden-Litzenberger) and CME crypto futures term structure, then compares to Polymarket binary price buckets. When options-implied probability diverges &gt;3% from Polymarket price, takes position. Documented: Deribit DVOL updates in milliseconds while Polymarket retail orderbook lags by seconds on range contracts.</t>
  </si>
  <si>
    <t xml:space="preserve">Deribit API (full options chain + DVOL + Greeks); CME BTC/ETH futures (via IB TWS API); Binance spot (real-time reference)</t>
  </si>
  <si>
    <t xml:space="preserve">Polymarket (crypto price prediction buckets) + optional Deribit options hedge</t>
  </si>
  <si>
    <t xml:space="preserve">Crypto: BTC/ETH price range predictions (weekly, monthly, quarterly), price target contracts, volatility-proxy contracts</t>
  </si>
  <si>
    <t xml:space="preserve">Risk-neutral density extraction from options chain → probability distribution per price bucket → compare to Polymarket binary prices → buy underpriced buckets</t>
  </si>
  <si>
    <t xml:space="preserve">300-600</t>
  </si>
  <si>
    <t xml:space="preserve">Build Deribit options chain fetcher. SABR/SVI vol surface calibrator. Breeden-Litzenberger RND extractor. Polymarket bucket mapper. Probability comparison engine. Optional: delta-hedging engine for options leg. Backtest on 2024-2025 Deribit+Polymarket historical data.</t>
  </si>
  <si>
    <t xml:space="preserve">Vol surface calibration error 0.5-2%; Deribit options illiquid on far OTM strikes; risk-neutral ≠ real-world probability (risk premium bias); Polymarket crypto buckets have $5-15K depth (thin); requires Deribit account (offshore, regulatory risk); SABR needs 5-7 strikes per expiry for reliable fit</t>
  </si>
  <si>
    <t xml:space="preserve">Deribit API (free, REST+WSS); CME via IB TWS API; Polymarket CLOB API; scipy (SABR calibration); QuantLib optional</t>
  </si>
  <si>
    <t xml:space="preserve">Reuses: risk_manager (extended for options Greeks). New: Deribit connector, SABR calibrator, RND extractor, bucket mapper, probability engine.</t>
  </si>
  <si>
    <t xml:space="preserve">Deribit Connector [NEW], SABR Calibrator [shared w/ P-008], Bucket Mapper [NEW]</t>
  </si>
  <si>
    <t xml:space="preserve">P-014</t>
  </si>
  <si>
    <t xml:space="preserve">Prediction Market Maker</t>
  </si>
  <si>
    <t xml:space="preserve">Acts as algorithmic market maker on Polymarket and/or Kalshi, quoting both sides around a fair-value estimate derived from other pods' models. Earns bid-ask spread + Polymarket maker rebates (up to 100% taker fee rebate on eligible markets). Kalshi rebates up to $7K/week. Requires inventory management, quote adjustment on news, and risk limits. Polymarket 15-min crypto markets offer highest maker reward (10% taker fee → large rebate pool).</t>
  </si>
  <si>
    <t xml:space="preserve">Fair-value estimates from other pods (P-001, P-006, P-011, P-012, P-013); real-time orderbook data from target venue</t>
  </si>
  <si>
    <t xml:space="preserve">Polymarket (maker rebates + 0% maker fee) and/or Kalshi (rebates up to $7K/week)</t>
  </si>
  <si>
    <t xml:space="preserve">Any market where you have a fair-value model: sports, crypto, economics, politics</t>
  </si>
  <si>
    <t xml:space="preserve">Quote both YES and NO around fair value with spread wide enough to cover adverse selection. Earn spread + rebates. Manage inventory dynamically (tighter quotes on balanced book, wider when skewed)</t>
  </si>
  <si>
    <t xml:space="preserve">100-250</t>
  </si>
  <si>
    <t xml:space="preserve">$1,000-25,000</t>
  </si>
  <si>
    <t xml:space="preserve">Build quote engine (fair value → bid/ask with configurable spread). Inventory manager (track position, adjust quotes based on skew). Order manager (place/cancel/update limit orders via API). Risk limits (max inventory, max loss per market). Polymarket maker rebate tracking. Extend to Kalshi when FIX protocol access obtained.</t>
  </si>
  <si>
    <t xml:space="preserve">Adverse selection (informed traders pick you off on news); inventory blowup (stuck holding large position if market moves); requires sub-100ms quote updates; Polymarket ghost market issue (/book endpoint returns stale 0.01/0.99); latency competition from professional market makers; capital locked in open positions</t>
  </si>
  <si>
    <t xml:space="preserve">Polymarket CLOB WSS (real-time orderbook); Kalshi WSS; fair-value feeds from other pods; py-clob-client</t>
  </si>
  <si>
    <t xml:space="preserve">Reuses: edge_calculator (fair value), risk_manager (position limits). New: quote engine, inventory manager, order manager, rebate tracker. Depends on other pods for fair-value estimates.</t>
  </si>
  <si>
    <t xml:space="preserve">Quote Engine [NEW], Inventory Manager [NEW], Order Manager [NEW]; depends on other pods for fair values</t>
  </si>
  <si>
    <t xml:space="preserve">P-015</t>
  </si>
  <si>
    <t xml:space="preserve">LLM Event Forecaster</t>
  </si>
  <si>
    <t xml:space="preserve">Uses fine-tuned LLM (Claude or GPT-4 class) to generate probability estimates for prediction market events across all categories (political, economic, sports, entertainment, science). LLMs now rank #2 on forecasting leaderboards (behind superforecasters, ahead of public crowd). Trained on 9,800 binary outcomes from Polymarket (July-Dec 2024) with 7-10% accuracy improvement. Projected to reach superforecaster parity by Q4 2026. Generates daily fair-value estimates for 50-200 active markets.</t>
  </si>
  <si>
    <t xml:space="preserve">LLM API (Claude/GPT-4); news feeds (Reuters, AP, domain-specific); Polymarket historical outcomes for training/validation; Metaculus as benchmark</t>
  </si>
  <si>
    <t xml:space="preserve">Kalshi + Polymarket (trade on whichever venue has the mispriced contract)</t>
  </si>
  <si>
    <t xml:space="preserve">All categories: politics, economics, crypto, sports, entertainment, science, climate — any binary prediction market</t>
  </si>
  <si>
    <t xml:space="preserve">LLM-as-forecaster: prompt with event description + context + base rates + recent news → calibrated probability estimate. Trade when LLM estimate diverges &gt;5% from market price. Ensemble multiple LLM runs for stability.</t>
  </si>
  <si>
    <t xml:space="preserve">$500-5,000</t>
  </si>
  <si>
    <t xml:space="preserve">Build forecasting prompt template library (per category). LLM probability extraction pipeline (structured output → calibrated probability). Validation framework against historical outcomes. Market scanner (active markets on Kalshi+Polymarket). Signal generator (LLM estimate vs market price). Backtest on 2024-2025 resolved markets.</t>
  </si>
  <si>
    <t xml:space="preserve">LLM calibration requires large training set (1000+ resolved outcomes); prompt sensitivity (small changes → different probabilities); API cost ($1-5K/month for high-volume forecasting); hallucination risk on factual claims; latency (30-60 seconds per forecast vs real-time market moves); requires ongoing fine-tuning as market dynamics shift; institutional competition (Citadel, Jump already running LLM forecasters)</t>
  </si>
  <si>
    <t xml:space="preserve">Claude API / GPT-4 API ($1-5K/mo); Polymarket historical data API; news APIs (Reuters, AP); Metaculus API (benchmark)</t>
  </si>
  <si>
    <t xml:space="preserve">Reuses: edge_calculator (sizing), risk_manager, settler. New: LLM forecasting pipeline, prompt library, calibration framework, market scanner, validation engine.</t>
  </si>
  <si>
    <t xml:space="preserve">LLM Forecasting Pipeline [NEW], Prompt Library [NEW], Calibration Framework [NEW]</t>
  </si>
  <si>
    <t xml:space="preserve">P-016</t>
  </si>
  <si>
    <t xml:space="preserve">P-017</t>
  </si>
  <si>
    <t xml:space="preserve">P-018</t>
  </si>
  <si>
    <t xml:space="preserve">P-019</t>
  </si>
  <si>
    <t xml:space="preserve">P-020</t>
  </si>
  <si>
    <t xml:space="preserve">Venue</t>
  </si>
  <si>
    <t xml:space="preserve">Account Status</t>
  </si>
  <si>
    <t xml:space="preserve">API Available</t>
  </si>
  <si>
    <t xml:space="preserve">API Auth Method</t>
  </si>
  <si>
    <t xml:space="preserve">Rate Limits</t>
  </si>
  <si>
    <t xml:space="preserve">Fee Structure</t>
  </si>
  <si>
    <t xml:space="preserve">Market Types</t>
  </si>
  <si>
    <t xml:space="preserve">Order Types</t>
  </si>
  <si>
    <t xml:space="preserve">Data Feeds</t>
  </si>
  <si>
    <t xml:space="preserve">Execution Mode</t>
  </si>
  <si>
    <t xml:space="preserve">Programmatic Trading</t>
  </si>
  <si>
    <t xml:space="preserve">Key Constraints</t>
  </si>
  <si>
    <t xml:space="preserve">Notes</t>
  </si>
  <si>
    <t xml:space="preserve">Active</t>
  </si>
  <si>
    <t xml:space="preserve">Yes (REST + WSS + FIX)</t>
  </si>
  <si>
    <t xml:space="preserve">RSA-PSS key signing</t>
  </si>
  <si>
    <t xml:space="preserve">Tiered: Basic/Advanced/Premier/Prime; 50-200ms REST latency; 429 on exceed</t>
  </si>
  <si>
    <t xml:space="preserve">Taker: $0.07*P*(1-P), max $0.0175/contract; Maker: scaled P*(1-P) since Apr 2025</t>
  </si>
  <si>
    <t xml:space="preserve">Sports (NFL/NBA/Tennis/Hockey/MMA), Politics, Economics (GDP/CPI/Jobs/Fed), Crypto, Climate, Entertainment</t>
  </si>
  <si>
    <t xml:space="preserve">Limit, IOC, Batched (up to 15); no native market order</t>
  </si>
  <si>
    <t xml:space="preserve">REST snapshots; WSS orderbook_delta + trade feeds; Historical API (separate endpoint, 1yr lookback)</t>
  </si>
  <si>
    <t xml:space="preserve">Paper + Live (dual safety gate)</t>
  </si>
  <si>
    <t xml:space="preserve">Fully supported; official SDKs (Python/Go/Rust)</t>
  </si>
  <si>
    <t xml:space="preserve">Rate limits tight at Basic tier; maker fees introduced Apr 2025; historical data moving to separate API by Mar 2026</t>
  </si>
  <si>
    <t xml:space="preserve">CFTC-regulated. Tokenized contracts on Solana launched Dec 2025. Premier/Prime tiers for HFT.</t>
  </si>
  <si>
    <t xml:space="preserve">Yes (CLOB REST + WSS)</t>
  </si>
  <si>
    <t xml:space="preserve">L1: EIP-712 signing; L2: HMAC-SHA256 API key/secret/passphrase</t>
  </si>
  <si>
    <t xml:space="preserve">60 req/min REST; WSS virtually unlimited</t>
  </si>
  <si>
    <t xml:space="preserve">Most markets: 0% fees. 15-min crypto: 10% taker rate. Polymarket US: 0.01% taker. Post-only makers may earn rebates.</t>
  </si>
  <si>
    <t xml:space="preserve">Sports (~3,242 active), Politics, Crypto, Economics, Pop Culture, Science, Weather</t>
  </si>
  <si>
    <t xml:space="preserve">GTC, GTD, FOK, FAK, Post-Only; batch up to 15 orders</t>
  </si>
  <si>
    <t xml:space="preserve">WSS: Level 2 price data, trade feeds, sports channel; REST: prices-history, OHLCV via FinFeedAPI</t>
  </si>
  <si>
    <t xml:space="preserve">Live (on-chain Polygon/USDC)</t>
  </si>
  <si>
    <t xml:space="preserve">Fully supported; official Python/Rust clients; bots encouraged</t>
  </si>
  <si>
    <t xml:space="preserve">On-chain (Polygon); USDC deposits only; US version invite-only (CFTC-regulated QCEX); sports taker fees starting Feb 2026</t>
  </si>
  <si>
    <t xml:space="preserve">$21.5B volume in 2025. $40M arb bot profits documented. NYC Rangers, UFC, MLS partnerships.</t>
  </si>
  <si>
    <t xml:space="preserve">FanDuel</t>
  </si>
  <si>
    <t xml:space="preserve">Available (not yet opened)</t>
  </si>
  <si>
    <t xml:space="preserve">No official API</t>
  </si>
  <si>
    <t xml:space="preserve">N/A (no API)</t>
  </si>
  <si>
    <t xml:space="preserve">Anti-scraping measures; IP rate limiting; bot detection</t>
  </si>
  <si>
    <t xml:space="preserve">No explicit fees; 4-8% vig built into odds; props/SGP higher vig</t>
  </si>
  <si>
    <t xml:space="preserve">Sports only: NFL, NBA, MLB, NHL, soccer, tennis, MMA, golf + props, SGP, futures</t>
  </si>
  <si>
    <t xml:space="preserve">Manual via app/website only</t>
  </si>
  <si>
    <t xml:space="preserve">Via third-party: The Odds API, Unabated, SportsDataIO</t>
  </si>
  <si>
    <t xml:space="preserve">Manual only</t>
  </si>
  <si>
    <t xml:space="preserve">Prohibited in ToS; sharp bettors actively limited/gubbed</t>
  </si>
  <si>
    <t xml:space="preserve">ToS bans bots/scripts; sharp bettors face stake limits, market restrictions; promo-only value</t>
  </si>
  <si>
    <t xml:space="preserve">Sign-up: Bet $5 get $100 if wins. Ongoing: daily boosts, profit boosts, parlay insurance. ~70-80% promo conversion rate.</t>
  </si>
  <si>
    <t xml:space="preserve">DraftKings</t>
  </si>
  <si>
    <t xml:space="preserve">No official API (NFT Marketplace API only)</t>
  </si>
  <si>
    <t xml:space="preserve">N/A</t>
  </si>
  <si>
    <t xml:space="preserve">Anti-bot detection; headless browser fingerprinting</t>
  </si>
  <si>
    <t xml:space="preserve">No explicit fees; 4-8% vig built into odds; similar to FanDuel</t>
  </si>
  <si>
    <t xml:space="preserve">Sports only: similar coverage to FanDuel + live in-play; DFS pick'em</t>
  </si>
  <si>
    <t xml:space="preserve">Via third-party: The Odds API, Unabated, OpticOdds</t>
  </si>
  <si>
    <t xml:space="preserve">Prohibited in ToS; automated = immediate termination</t>
  </si>
  <si>
    <t xml:space="preserve">ToS bans automation; account restrictions for winners; DraftKings+ subscription ($20/mo) for boost tokens</t>
  </si>
  <si>
    <t xml:space="preserve">Sign-up: Bet $5 get $200 if wins (expires 3/8/26). Daily odds boosts. More aggressive bonus than FanDuel.</t>
  </si>
  <si>
    <t xml:space="preserve">Interactive Brokers</t>
  </si>
  <si>
    <t xml:space="preserve">Yes (TWS API + Client Portal REST)</t>
  </si>
  <si>
    <t xml:space="preserve">OAuth / session-based</t>
  </si>
  <si>
    <t xml:space="preserve">Web API: 10 req/sec; TWS: variable by endpoint</t>
  </si>
  <si>
    <t xml:space="preserve">Forecast Contracts: $0 commission + 3.14% APY incentive; Event Contracts (CME): $0.10/contract; Options: $0.15-$0.65/contract</t>
  </si>
  <si>
    <t xml:space="preserve">Forecast Contracts (politics, economics, climate); CME Event Contracts; Full options chains; Equities; Futures</t>
  </si>
  <si>
    <t xml:space="preserve">Limit, Market, IOC, GTC, GFD + advanced algos</t>
  </si>
  <si>
    <t xml:space="preserve">Real-time streaming; historical data; options chains; Volatility Lab</t>
  </si>
  <si>
    <t xml:space="preserve">Paper + Live (TWS/Client Portal)</t>
  </si>
  <si>
    <t xml:space="preserve">Fully supported; extensive TWS API; ib_insync Python library</t>
  </si>
  <si>
    <t xml:space="preserve">Event contracts modeled as options (can't short directly, buy opposing to exit); ForecastEx separate from main brokerage</t>
  </si>
  <si>
    <t xml:space="preserve">CFTC-regulated ForecastEx. Volatility Lab for event-driven options. Corporate event data via Wall Street Horizon.</t>
  </si>
  <si>
    <t xml:space="preserve">Robinhood</t>
  </si>
  <si>
    <t xml:space="preserve">Crypto API only</t>
  </si>
  <si>
    <t xml:space="preserve">API key (crypto only)</t>
  </si>
  <si>
    <t xml:space="preserve">N/A for event contracts</t>
  </si>
  <si>
    <t xml:space="preserve">Event contracts: TBD; Stocks/Options: $0 commission</t>
  </si>
  <si>
    <t xml:space="preserve">Event contracts (sports, elections via Rothera); Stocks; Options; Crypto</t>
  </si>
  <si>
    <t xml:space="preserve">Limit, dollar-based (event contracts)</t>
  </si>
  <si>
    <t xml:space="preserve">App only (no API data feeds for event contracts)</t>
  </si>
  <si>
    <t xml:space="preserve">Manual only for event contracts</t>
  </si>
  <si>
    <t xml:space="preserve">No API for event contracts; crypto API only</t>
  </si>
  <si>
    <t xml:space="preserve">No programmatic access to event contracts; acquiring MIAXdx (CFTC DCM) through 2026; sports expanding</t>
  </si>
  <si>
    <t xml:space="preserve">12B+ contracts traded 2025. Fastest-growing product. MIAXdx acquisition for regulatory infrastructure.</t>
  </si>
  <si>
    <t xml:space="preserve">Dimension</t>
  </si>
  <si>
    <t xml:space="preserve">Weight</t>
  </si>
  <si>
    <t xml:space="preserve">Score 1</t>
  </si>
  <si>
    <t xml:space="preserve">Score 3</t>
  </si>
  <si>
    <t xml:space="preserve">Score 5</t>
  </si>
  <si>
    <t xml:space="preserve">Build Speed</t>
  </si>
  <si>
    <t xml:space="preserve">25%</t>
  </si>
  <si>
    <t xml:space="preserve">6+ weeks; requires new infra from scratch</t>
  </si>
  <si>
    <t xml:space="preserve">2-4 weeks; partial reuse of existing modules</t>
  </si>
  <si>
    <t xml:space="preserve">&lt;1 week; direct extension of existing scanner</t>
  </si>
  <si>
    <t xml:space="preserve">EV Clarity</t>
  </si>
  <si>
    <t xml:space="preserve">20%</t>
  </si>
  <si>
    <t xml:space="preserve">Theoretical edge, unverifiable</t>
  </si>
  <si>
    <t xml:space="preserve">Edge mechanism clear but untested in practice</t>
  </si>
  <si>
    <t xml:space="preserve">Proven mechanism with backtestable data</t>
  </si>
  <si>
    <t xml:space="preserve">Robustness</t>
  </si>
  <si>
    <t xml:space="preserve">Fragile; relies on single venue/condition</t>
  </si>
  <si>
    <t xml:space="preserve">Moderate; works across some conditions</t>
  </si>
  <si>
    <t xml:space="preserve">Robust; works across venues, markets, and conditions</t>
  </si>
  <si>
    <t xml:space="preserve">Capacity</t>
  </si>
  <si>
    <t xml:space="preserve">15%</t>
  </si>
  <si>
    <t xml:space="preserve">&lt;$50/day; not worth operating</t>
  </si>
  <si>
    <t xml:space="preserve">$50-500/day; meaningful but limited</t>
  </si>
  <si>
    <t xml:space="preserve">&gt;$500/day; scalable capital deployment</t>
  </si>
  <si>
    <t xml:space="preserve">Ops Complexity</t>
  </si>
  <si>
    <t xml:space="preserve">10%</t>
  </si>
  <si>
    <t xml:space="preserve">Constant manual intervention required</t>
  </si>
  <si>
    <t xml:space="preserve">Weekly monitoring sufficient</t>
  </si>
  <si>
    <t xml:space="preserve">Fully automated; alerts-only monitoring</t>
  </si>
  <si>
    <t xml:space="preserve">Diversification</t>
  </si>
  <si>
    <t xml:space="preserve">100% correlated with existing pods</t>
  </si>
  <si>
    <t xml:space="preserve">Partial correlation (same market type)</t>
  </si>
  <si>
    <t xml:space="preserve">Uncorrelated; different venue/market/mechanism</t>
  </si>
  <si>
    <t xml:space="preserve">Component</t>
  </si>
  <si>
    <t xml:space="preserve">Module</t>
  </si>
  <si>
    <t xml:space="preserve">Reusable As-Is</t>
  </si>
  <si>
    <t xml:space="preserve">Needs Generalization</t>
  </si>
  <si>
    <t xml:space="preserve">Edge Math</t>
  </si>
  <si>
    <t xml:space="preserve">edge_calculator.py + utils.py</t>
  </si>
  <si>
    <t xml:space="preserve">Built (73 tests)</t>
  </si>
  <si>
    <t xml:space="preserve">Yes</t>
  </si>
  <si>
    <t xml:space="preserve">No</t>
  </si>
  <si>
    <t xml:space="preserve">Vig removal (additive+power), consensus prob, edge/EV/Kelly. Fee-adjusted. Works for any binary market.</t>
  </si>
  <si>
    <t xml:space="preserve">Risk Manager</t>
  </si>
  <si>
    <t xml:space="preserve">risk_manager.py</t>
  </si>
  <si>
    <t xml:space="preserve">Built (79 tests)</t>
  </si>
  <si>
    <t xml:space="preserve">Position limits, exposure caps, daily loss guard (5%→60min cooldown), per-trade approval, full ledger.</t>
  </si>
  <si>
    <t xml:space="preserve">Settlement</t>
  </si>
  <si>
    <t xml:space="preserve">settler.py</t>
  </si>
  <si>
    <t xml:space="preserve">Built (40 tests)</t>
  </si>
  <si>
    <t xml:space="preserve">WIN/LOSS/VOID tracking, P&amp;L calc, ledger sync, rebuild from log.</t>
  </si>
  <si>
    <t xml:space="preserve">Backtester</t>
  </si>
  <si>
    <t xml:space="preserve">backtester.py</t>
  </si>
  <si>
    <t xml:space="preserve">Built (83 tests)</t>
  </si>
  <si>
    <t xml:space="preserve">Minor</t>
  </si>
  <si>
    <t xml:space="preserve">Equity curves, Sharpe, drawdown. May need adapter for different pod data formats.</t>
  </si>
  <si>
    <t xml:space="preserve">Dashboard</t>
  </si>
  <si>
    <t xml:space="preserve">dashboard.py</t>
  </si>
  <si>
    <t xml:space="preserve">Built (84 tests)</t>
  </si>
  <si>
    <t xml:space="preserve">Terminal dashboard + CSV/Excel export. Needs pod-aware filtering for multi-pod.</t>
  </si>
  <si>
    <t xml:space="preserve">Learner</t>
  </si>
  <si>
    <t xml:space="preserve">learner.py</t>
  </si>
  <si>
    <t xml:space="preserve">Built (69 tests)</t>
  </si>
  <si>
    <t xml:space="preserve">Bayesian/rolling calibration, logistic regression, sport-specific bias. Generalizable to other market types.</t>
  </si>
  <si>
    <t xml:space="preserve">Kalshi Client</t>
  </si>
  <si>
    <t xml:space="preserve">kalshi_client.py</t>
  </si>
  <si>
    <t xml:space="preserve">Built (70 tests)</t>
  </si>
  <si>
    <t xml:space="preserve">Pattern for others</t>
  </si>
  <si>
    <t xml:space="preserve">REST API wrapper, RSA-PSS auth, rate limiting, retry. Good template for Polymarket/IB connectors.</t>
  </si>
  <si>
    <t xml:space="preserve">Odds Client</t>
  </si>
  <si>
    <t xml:space="preserve">odds_client.py</t>
  </si>
  <si>
    <t xml:space="preserve">Built (54 tests)</t>
  </si>
  <si>
    <t xml:space="preserve">The Odds API connector with TTL cache, multi-sport. Other data sources need similar connectors.</t>
  </si>
  <si>
    <t xml:space="preserve">Matcher</t>
  </si>
  <si>
    <t xml:space="preserve">matcher.py</t>
  </si>
  <si>
    <t xml:space="preserve">Built (62 tests)</t>
  </si>
  <si>
    <t xml:space="preserve">Kalshi-specific</t>
  </si>
  <si>
    <t xml:space="preserve">Fuzzy matching (token sort + partial), time window, moneyline filter. Needs venue-agnostic interface.</t>
  </si>
  <si>
    <t xml:space="preserve">Scanner</t>
  </si>
  <si>
    <t xml:space="preserve">scanner.py</t>
  </si>
  <si>
    <t xml:space="preserve">Built (88 tests)</t>
  </si>
  <si>
    <t xml:space="preserve">Yes — becomes BasePod</t>
  </si>
  <si>
    <t xml:space="preserve">Monolithic orchestrator. scan_once() pattern is great but needs refactoring into pod interface.</t>
  </si>
  <si>
    <t xml:space="preserve">Executor</t>
  </si>
  <si>
    <t xml:space="preserve">executor.py</t>
  </si>
  <si>
    <t xml:space="preserve">Built (49 tests)</t>
  </si>
  <si>
    <t xml:space="preserve">Partially</t>
  </si>
  <si>
    <t xml:space="preserve">Paper + live modes, dual safety gates. Needs venue-agnostic execution interface.</t>
  </si>
  <si>
    <t xml:space="preserve">Team Resolver</t>
  </si>
  <si>
    <t xml:space="preserve">team_resolver.py</t>
  </si>
  <si>
    <t xml:space="preserve">Built (38 tests)</t>
  </si>
  <si>
    <t xml:space="preserve">NBA only</t>
  </si>
  <si>
    <t xml:space="preserve">30 NBA teams. Needs sport-agnostic approach or per-sport resolvers.</t>
  </si>
  <si>
    <t xml:space="preserve">Fatigue Analyzer</t>
  </si>
  <si>
    <t xml:space="preserve">fatigue_analyzer.py</t>
  </si>
  <si>
    <t xml:space="preserve">Built (34 tests)</t>
  </si>
  <si>
    <t xml:space="preserve">Back-to-back detection (28h), rest differential. NBA-specific; other sports need own analyzers.</t>
  </si>
  <si>
    <t xml:space="preserve">Consistency Checker</t>
  </si>
  <si>
    <t xml:space="preserve">consistency_checker.py</t>
  </si>
  <si>
    <t xml:space="preserve">Built (37 tests)</t>
  </si>
  <si>
    <t xml:space="preserve">Tier monotonicity (championship &gt; conference &gt; playoff). Concept generalizable.</t>
  </si>
  <si>
    <t xml:space="preserve">Config / Logging</t>
  </si>
  <si>
    <t xml:space="preserve">config.yaml, structlog</t>
  </si>
  <si>
    <t xml:space="preserve">Built</t>
  </si>
  <si>
    <t xml:space="preserve">YAML config for all tunables, .env for secrets, JSON structured logging, JSON Schema validation.</t>
  </si>
  <si>
    <t xml:space="preserve">Type</t>
  </si>
  <si>
    <t xml:space="preserve">Est. Effort</t>
  </si>
  <si>
    <t xml:space="preserve">Pods Enabled</t>
  </si>
  <si>
    <t xml:space="preserve">Dependencies</t>
  </si>
  <si>
    <t xml:space="preserve">── TIER 1: Quick Wins ──</t>
  </si>
  <si>
    <t xml:space="preserve">Account Tracker + Conversion Workflow</t>
  </si>
  <si>
    <t xml:space="preserve">New Module</t>
  </si>
  <si>
    <t xml:space="preserve">3 days</t>
  </si>
  <si>
    <t xml:space="preserve">P-009 (Bonus Blitz)</t>
  </si>
  <si>
    <t xml:space="preserve">NOT STARTED</t>
  </si>
  <si>
    <t xml:space="preserve">Excel/CSV tracker for book accounts, bonus status, conversion amounts. Template for priming schedule. Reuses edge_calculator for hedge sizing.</t>
  </si>
  <si>
    <t xml:space="preserve">Polymarket CLOB Client</t>
  </si>
  <si>
    <t xml:space="preserve">1 week</t>
  </si>
  <si>
    <t xml:space="preserve">P-006, P-002, P-003, P-014, P-015</t>
  </si>
  <si>
    <t xml:space="preserve">py-clob-client library, EIP-712/HMAC auth</t>
  </si>
  <si>
    <t xml:space="preserve">Core dependency unlocking 5+ pods. REST+WSS. Auth: derive API creds from wallet private key. Pattern after existing kalshi_client.py.</t>
  </si>
  <si>
    <t xml:space="preserve">Polymarket Matcher</t>
  </si>
  <si>
    <t xml:space="preserve">Extension</t>
  </si>
  <si>
    <t xml:space="preserve">P-006, P-002</t>
  </si>
  <si>
    <t xml:space="preserve">Polymarket Client, existing matcher.py</t>
  </si>
  <si>
    <t xml:space="preserve">Adapt matcher.py fuzzy matching for Polymarket naming conventions. Different event title format than Kalshi.</t>
  </si>
  <si>
    <t xml:space="preserve">Boost Scanner Integration</t>
  </si>
  <si>
    <t xml:space="preserve">4 days</t>
  </si>
  <si>
    <t xml:space="preserve">P-010 (Boost Grind)</t>
  </si>
  <si>
    <t xml:space="preserve">OddsJam/DarkHorse API or scraper</t>
  </si>
  <si>
    <t xml:space="preserve">Webhook or polling for daily FanDuel/DraftKings boost alerts. EV formula: boosted_odds vs devigged fair_odds. Account health tracker.</t>
  </si>
  <si>
    <t xml:space="preserve">── TIER 2: Core Extensions ──</t>
  </si>
  <si>
    <t xml:space="preserve">Event Matcher (Cross-Venue)</t>
  </si>
  <si>
    <t xml:space="preserve">P-002, P-004</t>
  </si>
  <si>
    <t xml:space="preserve">Polymarket Client, Kalshi Client</t>
  </si>
  <si>
    <t xml:space="preserve">Maps identical events across Kalshi/Polymarket/ForecastEx. NLP-based title matching + settlement source verification. Flags mismatches.</t>
  </si>
  <si>
    <t xml:space="preserve">Dual-Leg Executor</t>
  </si>
  <si>
    <t xml:space="preserve">P-002, P-003</t>
  </si>
  <si>
    <t xml:space="preserve">Polymarket Client, Kalshi Client, Executor</t>
  </si>
  <si>
    <t xml:space="preserve">Execute both legs of cross-venue arb atomically. Rollback on partial fill. FOK orders where available. Extends existing executor.py.</t>
  </si>
  <si>
    <t xml:space="preserve">IB ForecastEx Connector</t>
  </si>
  <si>
    <t xml:space="preserve">P-004, P-005, P-008</t>
  </si>
  <si>
    <t xml:space="preserve">ib_insync, TWS API</t>
  </si>
  <si>
    <t xml:space="preserve">secType=OPT, exchange=FORECASTX. BUY only (buy opposing to exit). Symbol discovery via ForecastTrader UI. Pattern after kalshi_client.py.</t>
  </si>
  <si>
    <t xml:space="preserve">Nowcast Data Pipeline</t>
  </si>
  <si>
    <t xml:space="preserve">P-012 (Macro Nowcast)</t>
  </si>
  <si>
    <t xml:space="preserve">FRED API, Cleveland Fed API, Atlanta Fed API (all free)</t>
  </si>
  <si>
    <t xml:space="preserve">Daily fetch: Cleveland Fed CPI nowcast + Atlanta Fed GDPNow + SPF quarterly. Three-tier weighted ensemble. Compare to Kalshi economic bins.</t>
  </si>
  <si>
    <t xml:space="preserve">BasePod Framework</t>
  </si>
  <si>
    <t xml:space="preserve">Refactor</t>
  </si>
  <si>
    <t xml:space="preserve">ALL new pods</t>
  </si>
  <si>
    <t xml:space="preserve">Existing scanner.py</t>
  </si>
  <si>
    <t xml:space="preserve">Abstract scanner.py into BasePod with scan_once() interface. KalshiMoneylinePod as first implementation. All new pods implement same interface.</t>
  </si>
  <si>
    <t xml:space="preserve">── TIER 3: Advanced ──</t>
  </si>
  <si>
    <t xml:space="preserve">Binance WebSocket Monitor</t>
  </si>
  <si>
    <t xml:space="preserve">P-003 (Crypto Flash)</t>
  </si>
  <si>
    <t xml:space="preserve">Binance WSS API</t>
  </si>
  <si>
    <t xml:space="preserve">Real-time BTC/ETH spot price via WebSocket (4-13ms latency). Direction confirmation logic. Maps to 15-min crypto contracts.</t>
  </si>
  <si>
    <t xml:space="preserve">Poll Aggregator Pipeline</t>
  </si>
  <si>
    <t xml:space="preserve">P-011 (Political FV)</t>
  </si>
  <si>
    <t xml:space="preserve">538 API, RCP scraper, Metaculus API</t>
  </si>
  <si>
    <t xml:space="preserve">Daily polling data ingestion. Bayesian ensemble engine (polls + base rates + forecasters). Backtest on 2020-2024 elections.</t>
  </si>
  <si>
    <t xml:space="preserve">Quote Engine + Inventory Manager</t>
  </si>
  <si>
    <t xml:space="preserve">2 weeks</t>
  </si>
  <si>
    <t xml:space="preserve">P-014 (Market Maker)</t>
  </si>
  <si>
    <t xml:space="preserve">Polymarket Client, fair-value feeds from other pods</t>
  </si>
  <si>
    <t xml:space="preserve">Fair value → bid/ask spread. Inventory tracking, skew-based quote adjustment. Sub-100ms update loop. Polymarket maker rebate tracking.</t>
  </si>
  <si>
    <t xml:space="preserve">── TIER 4: Complex/Speculative ──</t>
  </si>
  <si>
    <t xml:space="preserve">SABR Vol Surface Calibrator</t>
  </si>
  <si>
    <t xml:space="preserve">P-008, P-013</t>
  </si>
  <si>
    <t xml:space="preserve">scipy, QuantLib (optional), IB options chains or Deribit API</t>
  </si>
  <si>
    <t xml:space="preserve">4-parameter SABR fit (alpha, beta, rho, nu). Breeden-Litzenberger RND extraction. Requires 5-7 strikes/expiry. Shared between P-008 and P-013.</t>
  </si>
  <si>
    <t xml:space="preserve">LLM Forecasting Pipeline</t>
  </si>
  <si>
    <t xml:space="preserve">P-015 (LLM Forecaster)</t>
  </si>
  <si>
    <t xml:space="preserve">Claude/GPT-4 API, Polymarket historical data</t>
  </si>
  <si>
    <t xml:space="preserve">Prompt template library per category. Structured probability output. Calibration framework on 1000+ historical outcomes. $1-5K/mo API cost.</t>
  </si>
  <si>
    <t xml:space="preserve">Carry Accrual Tracker</t>
  </si>
  <si>
    <t xml:space="preserve">P-005 (ForecastEx Carry)</t>
  </si>
  <si>
    <t xml:space="preserve">Track 3.14% APY coupon accrual. Monthly rebalance scheduler. IB statement parser. Depends on P-004 connector.</t>
  </si>
  <si>
    <t xml:space="preserve">Econ Release Parser</t>
  </si>
  <si>
    <t xml:space="preserve">P-007 (Econ Stale-Line)</t>
  </si>
  <si>
    <t xml:space="preserve">BLS/FRED APIs, news feed</t>
  </si>
  <si>
    <t xml:space="preserve">Parse BLS data release format in real-time. Expectations tracker (consensus vs actual). Event-triggered execution.</t>
  </si>
</sst>
</file>

<file path=xl/styles.xml><?xml version="1.0" encoding="utf-8"?>
<styleSheet xmlns="http://schemas.openxmlformats.org/spreadsheetml/2006/main">
  <numFmts count="3">
    <numFmt numFmtId="164" formatCode="General"/>
    <numFmt numFmtId="165" formatCode="0"/>
    <numFmt numFmtId="166" formatCode="0.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color rgb="FF006100"/>
      <name val="Arial"/>
      <family val="0"/>
      <charset val="1"/>
    </font>
    <font>
      <sz val="10"/>
      <color rgb="FF0000FF"/>
      <name val="Arial"/>
      <family val="0"/>
      <charset val="1"/>
    </font>
    <font>
      <b val="true"/>
      <sz val="10"/>
      <color rgb="FF2F5496"/>
      <name val="Arial"/>
      <family val="0"/>
      <charset val="1"/>
    </font>
  </fonts>
  <fills count="10">
    <fill>
      <patternFill patternType="none"/>
    </fill>
    <fill>
      <patternFill patternType="gray125"/>
    </fill>
    <fill>
      <patternFill patternType="solid">
        <fgColor rgb="FF2F5496"/>
        <bgColor rgb="FF4472C4"/>
      </patternFill>
    </fill>
    <fill>
      <patternFill patternType="solid">
        <fgColor rgb="FFC6EFCE"/>
        <bgColor rgb="FFE2EFDA"/>
      </patternFill>
    </fill>
    <fill>
      <patternFill patternType="solid">
        <fgColor rgb="FFFFEB9C"/>
        <bgColor rgb="FFFCE4D6"/>
      </patternFill>
    </fill>
    <fill>
      <patternFill patternType="solid">
        <fgColor rgb="FFFCE4D6"/>
        <bgColor rgb="FFF2DCDB"/>
      </patternFill>
    </fill>
    <fill>
      <patternFill patternType="solid">
        <fgColor rgb="FFF2DCDB"/>
        <bgColor rgb="FFFCE4D6"/>
      </patternFill>
    </fill>
    <fill>
      <patternFill patternType="solid">
        <fgColor rgb="FF4472C4"/>
        <bgColor rgb="FF666699"/>
      </patternFill>
    </fill>
    <fill>
      <patternFill patternType="solid">
        <fgColor rgb="FFE2EFDA"/>
        <bgColor rgb="FFD6E4F0"/>
      </patternFill>
    </fill>
    <fill>
      <patternFill patternType="solid">
        <fgColor rgb="FFD6E4F0"/>
        <bgColor rgb="FFE2EFDA"/>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6"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4" fillId="7"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2F549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E2EFDA"/>
      <rgbColor rgb="FFFCE4D6"/>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2DCDB"/>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16"/>
    <col collapsed="false" customWidth="true" hidden="false" outlineLevel="0" max="4" min="4" style="1" width="50"/>
    <col collapsed="false" customWidth="true" hidden="false" outlineLevel="0" max="5" min="5" style="1" width="24"/>
    <col collapsed="false" customWidth="true" hidden="false" outlineLevel="0" max="6" min="6" style="1" width="18"/>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6"/>
    <col collapsed="false" customWidth="true" hidden="false" outlineLevel="0" max="16" min="11" style="1" width="14"/>
    <col collapsed="false" customWidth="true" hidden="false" outlineLevel="0" max="17" min="17" style="1" width="16"/>
    <col collapsed="false" customWidth="true" hidden="false" outlineLevel="0" max="20" min="18" style="1" width="40"/>
    <col collapsed="false" customWidth="true" hidden="false" outlineLevel="0" max="21" min="21" style="1" width="30"/>
    <col collapsed="false" customWidth="true" hidden="false" outlineLevel="0" max="22" min="22" style="1" width="12"/>
    <col collapsed="false" customWidth="true" hidden="false" outlineLevel="0" max="24" min="23" style="0" width="12"/>
    <col collapsed="false" customWidth="true" hidden="false" outlineLevel="0" max="25" min="25" style="0" width="40"/>
  </cols>
  <sheetData>
    <row r="1" customFormat="false" ht="36"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r="2" customFormat="false" ht="57" hidden="false" customHeight="true" outlineLevel="0" collapsed="false">
      <c r="A2" s="3" t="s">
        <v>25</v>
      </c>
      <c r="B2" s="3" t="s">
        <v>26</v>
      </c>
      <c r="C2" s="3" t="s">
        <v>27</v>
      </c>
      <c r="D2" s="3" t="s">
        <v>28</v>
      </c>
      <c r="E2" s="3" t="s">
        <v>29</v>
      </c>
      <c r="F2" s="3" t="s">
        <v>30</v>
      </c>
      <c r="G2" s="3" t="s">
        <v>31</v>
      </c>
      <c r="H2" s="3" t="s">
        <v>32</v>
      </c>
      <c r="I2" s="4" t="s">
        <v>33</v>
      </c>
      <c r="J2" s="3" t="s">
        <v>34</v>
      </c>
      <c r="K2" s="4" t="n">
        <v>5</v>
      </c>
      <c r="L2" s="4" t="n">
        <v>5</v>
      </c>
      <c r="M2" s="4" t="n">
        <v>4</v>
      </c>
      <c r="N2" s="4" t="n">
        <v>3</v>
      </c>
      <c r="O2" s="4" t="n">
        <v>5</v>
      </c>
      <c r="P2" s="4" t="n">
        <v>2</v>
      </c>
      <c r="Q2" s="5" t="n">
        <f aca="false">ROUND(K2*0.25 + L2*0.2 + M2*0.2 + N2*0.15 + O2*0.1 + P2*0.1, 2)</f>
        <v>4.2</v>
      </c>
      <c r="R2" s="3" t="s">
        <v>35</v>
      </c>
      <c r="S2" s="3" t="s">
        <v>36</v>
      </c>
      <c r="T2" s="3" t="s">
        <v>37</v>
      </c>
      <c r="U2" s="3" t="s">
        <v>38</v>
      </c>
      <c r="V2" s="3" t="s">
        <v>39</v>
      </c>
      <c r="W2" s="6" t="s">
        <v>40</v>
      </c>
      <c r="X2" s="7" t="s">
        <v>41</v>
      </c>
      <c r="Y2" s="3" t="s">
        <v>42</v>
      </c>
    </row>
    <row r="3" customFormat="false" ht="15" hidden="false" customHeight="true" outlineLevel="0" collapsed="false">
      <c r="A3" s="3" t="s">
        <v>43</v>
      </c>
      <c r="B3" s="3" t="s">
        <v>44</v>
      </c>
      <c r="C3" s="3" t="s">
        <v>27</v>
      </c>
      <c r="D3" s="3" t="s">
        <v>45</v>
      </c>
      <c r="E3" s="3" t="s">
        <v>46</v>
      </c>
      <c r="F3" s="3" t="s">
        <v>47</v>
      </c>
      <c r="G3" s="3" t="s">
        <v>48</v>
      </c>
      <c r="H3" s="3" t="s">
        <v>49</v>
      </c>
      <c r="I3" s="4" t="s">
        <v>50</v>
      </c>
      <c r="J3" s="3" t="s">
        <v>51</v>
      </c>
      <c r="K3" s="4" t="n">
        <v>5</v>
      </c>
      <c r="L3" s="4" t="n">
        <v>5</v>
      </c>
      <c r="M3" s="4" t="n">
        <v>4</v>
      </c>
      <c r="N3" s="4" t="n">
        <v>3</v>
      </c>
      <c r="O3" s="4" t="n">
        <v>4</v>
      </c>
      <c r="P3" s="4" t="n">
        <v>4</v>
      </c>
      <c r="Q3" s="5" t="n">
        <f aca="false">ROUND(K3*0.25+L3*0.2+M3*0.2+N3*0.15+O3*0.1+P3*0.1,2)</f>
        <v>4.3</v>
      </c>
      <c r="R3" s="3" t="s">
        <v>52</v>
      </c>
      <c r="S3" s="3" t="s">
        <v>53</v>
      </c>
      <c r="T3" s="3" t="s">
        <v>54</v>
      </c>
      <c r="U3" s="3" t="s">
        <v>55</v>
      </c>
      <c r="V3" s="3" t="s">
        <v>56</v>
      </c>
      <c r="W3" s="8" t="s">
        <v>57</v>
      </c>
      <c r="X3" s="7" t="n">
        <v>4</v>
      </c>
      <c r="Y3" s="3" t="s">
        <v>58</v>
      </c>
    </row>
    <row r="4" customFormat="false" ht="15" hidden="false" customHeight="true" outlineLevel="0" collapsed="false">
      <c r="A4" s="3" t="s">
        <v>59</v>
      </c>
      <c r="B4" s="3" t="s">
        <v>60</v>
      </c>
      <c r="C4" s="3" t="s">
        <v>27</v>
      </c>
      <c r="D4" s="3" t="s">
        <v>61</v>
      </c>
      <c r="E4" s="3" t="s">
        <v>62</v>
      </c>
      <c r="F4" s="3" t="s">
        <v>63</v>
      </c>
      <c r="G4" s="3" t="s">
        <v>64</v>
      </c>
      <c r="H4" s="3" t="s">
        <v>65</v>
      </c>
      <c r="I4" s="4" t="s">
        <v>66</v>
      </c>
      <c r="J4" s="3" t="s">
        <v>67</v>
      </c>
      <c r="K4" s="4" t="n">
        <v>3</v>
      </c>
      <c r="L4" s="4" t="n">
        <v>4</v>
      </c>
      <c r="M4" s="4" t="n">
        <v>2</v>
      </c>
      <c r="N4" s="4" t="n">
        <v>3</v>
      </c>
      <c r="O4" s="4" t="n">
        <v>3</v>
      </c>
      <c r="P4" s="4" t="n">
        <v>5</v>
      </c>
      <c r="Q4" s="5" t="n">
        <f aca="false">ROUND(K4*0.25+L4*0.2+M4*0.2+N4*0.15+O4*0.1+P4*0.1,2)</f>
        <v>3.2</v>
      </c>
      <c r="R4" s="3" t="s">
        <v>68</v>
      </c>
      <c r="S4" s="3" t="s">
        <v>69</v>
      </c>
      <c r="T4" s="3" t="s">
        <v>70</v>
      </c>
      <c r="U4" s="3" t="s">
        <v>71</v>
      </c>
      <c r="V4" s="3" t="s">
        <v>56</v>
      </c>
      <c r="W4" s="9" t="s">
        <v>72</v>
      </c>
      <c r="X4" s="7" t="n">
        <v>7</v>
      </c>
      <c r="Y4" s="3" t="s">
        <v>73</v>
      </c>
    </row>
    <row r="5" customFormat="false" ht="15" hidden="false" customHeight="true" outlineLevel="0" collapsed="false">
      <c r="A5" s="3" t="s">
        <v>74</v>
      </c>
      <c r="B5" s="3" t="s">
        <v>75</v>
      </c>
      <c r="C5" s="3" t="s">
        <v>27</v>
      </c>
      <c r="D5" s="3" t="s">
        <v>76</v>
      </c>
      <c r="E5" s="3" t="s">
        <v>77</v>
      </c>
      <c r="F5" s="3" t="s">
        <v>78</v>
      </c>
      <c r="G5" s="3" t="s">
        <v>79</v>
      </c>
      <c r="H5" s="3" t="s">
        <v>80</v>
      </c>
      <c r="I5" s="4" t="s">
        <v>81</v>
      </c>
      <c r="J5" s="3" t="s">
        <v>82</v>
      </c>
      <c r="K5" s="4" t="n">
        <v>3</v>
      </c>
      <c r="L5" s="4" t="n">
        <v>4</v>
      </c>
      <c r="M5" s="4" t="n">
        <v>4</v>
      </c>
      <c r="N5" s="4" t="n">
        <v>2</v>
      </c>
      <c r="O5" s="4" t="n">
        <v>3</v>
      </c>
      <c r="P5" s="4" t="n">
        <v>5</v>
      </c>
      <c r="Q5" s="5" t="n">
        <f aca="false">ROUND(K5*0.25+L5*0.2+M5*0.2+N5*0.15+O5*0.1+P5*0.1,2)</f>
        <v>3.45</v>
      </c>
      <c r="R5" s="3" t="s">
        <v>83</v>
      </c>
      <c r="S5" s="3" t="s">
        <v>84</v>
      </c>
      <c r="T5" s="3" t="s">
        <v>85</v>
      </c>
      <c r="U5" s="3" t="s">
        <v>86</v>
      </c>
      <c r="V5" s="3" t="s">
        <v>56</v>
      </c>
      <c r="W5" s="8" t="s">
        <v>57</v>
      </c>
      <c r="X5" s="7" t="n">
        <v>5</v>
      </c>
      <c r="Y5" s="3" t="s">
        <v>87</v>
      </c>
    </row>
    <row r="6" customFormat="false" ht="15" hidden="false" customHeight="true" outlineLevel="0" collapsed="false">
      <c r="A6" s="3" t="s">
        <v>88</v>
      </c>
      <c r="B6" s="3" t="s">
        <v>89</v>
      </c>
      <c r="C6" s="3" t="s">
        <v>27</v>
      </c>
      <c r="D6" s="3" t="s">
        <v>90</v>
      </c>
      <c r="E6" s="3" t="s">
        <v>91</v>
      </c>
      <c r="F6" s="3" t="s">
        <v>92</v>
      </c>
      <c r="G6" s="3" t="s">
        <v>93</v>
      </c>
      <c r="H6" s="3" t="s">
        <v>94</v>
      </c>
      <c r="I6" s="4" t="s">
        <v>95</v>
      </c>
      <c r="J6" s="3" t="s">
        <v>96</v>
      </c>
      <c r="K6" s="4" t="n">
        <v>3</v>
      </c>
      <c r="L6" s="4" t="n">
        <v>3</v>
      </c>
      <c r="M6" s="4" t="n">
        <v>3</v>
      </c>
      <c r="N6" s="4" t="n">
        <v>1</v>
      </c>
      <c r="O6" s="4" t="n">
        <v>2</v>
      </c>
      <c r="P6" s="4" t="n">
        <v>5</v>
      </c>
      <c r="Q6" s="5" t="n">
        <f aca="false">ROUND(K6*0.25+L6*0.2+M6*0.2+N6*0.15+O6*0.1+P6*0.1,2)</f>
        <v>2.8</v>
      </c>
      <c r="R6" s="3" t="s">
        <v>97</v>
      </c>
      <c r="S6" s="3" t="s">
        <v>98</v>
      </c>
      <c r="T6" s="3" t="s">
        <v>99</v>
      </c>
      <c r="U6" s="3" t="s">
        <v>100</v>
      </c>
      <c r="V6" s="3" t="s">
        <v>56</v>
      </c>
      <c r="W6" s="10" t="s">
        <v>101</v>
      </c>
      <c r="X6" s="7" t="n">
        <v>10</v>
      </c>
      <c r="Y6" s="3" t="s">
        <v>102</v>
      </c>
    </row>
    <row r="7" customFormat="false" ht="15" hidden="false" customHeight="true" outlineLevel="0" collapsed="false">
      <c r="A7" s="3" t="s">
        <v>103</v>
      </c>
      <c r="B7" s="3" t="s">
        <v>104</v>
      </c>
      <c r="C7" s="3" t="s">
        <v>27</v>
      </c>
      <c r="D7" s="3" t="s">
        <v>105</v>
      </c>
      <c r="E7" s="3" t="s">
        <v>106</v>
      </c>
      <c r="F7" s="3" t="s">
        <v>107</v>
      </c>
      <c r="G7" s="3" t="s">
        <v>108</v>
      </c>
      <c r="H7" s="3" t="s">
        <v>109</v>
      </c>
      <c r="I7" s="4" t="s">
        <v>110</v>
      </c>
      <c r="J7" s="3" t="s">
        <v>111</v>
      </c>
      <c r="K7" s="4" t="n">
        <v>5</v>
      </c>
      <c r="L7" s="4" t="n">
        <v>5</v>
      </c>
      <c r="M7" s="4" t="n">
        <v>4</v>
      </c>
      <c r="N7" s="4" t="n">
        <v>3</v>
      </c>
      <c r="O7" s="4" t="n">
        <v>5</v>
      </c>
      <c r="P7" s="4" t="n">
        <v>3</v>
      </c>
      <c r="Q7" s="5" t="n">
        <f aca="false">ROUND(K7*0.25+L7*0.2+M7*0.2+N7*0.15+O7*0.1+P7*0.1,2)</f>
        <v>4.3</v>
      </c>
      <c r="R7" s="3" t="s">
        <v>112</v>
      </c>
      <c r="S7" s="3" t="s">
        <v>113</v>
      </c>
      <c r="T7" s="3" t="s">
        <v>114</v>
      </c>
      <c r="U7" s="3" t="s">
        <v>115</v>
      </c>
      <c r="V7" s="3" t="s">
        <v>56</v>
      </c>
      <c r="W7" s="11" t="s">
        <v>116</v>
      </c>
      <c r="X7" s="7" t="n">
        <v>2</v>
      </c>
      <c r="Y7" s="3" t="s">
        <v>117</v>
      </c>
    </row>
    <row r="8" customFormat="false" ht="15" hidden="false" customHeight="true" outlineLevel="0" collapsed="false">
      <c r="A8" s="3" t="s">
        <v>118</v>
      </c>
      <c r="B8" s="3" t="s">
        <v>119</v>
      </c>
      <c r="C8" s="3" t="s">
        <v>27</v>
      </c>
      <c r="D8" s="3" t="s">
        <v>120</v>
      </c>
      <c r="E8" s="3" t="s">
        <v>121</v>
      </c>
      <c r="F8" s="3" t="s">
        <v>122</v>
      </c>
      <c r="G8" s="3" t="s">
        <v>123</v>
      </c>
      <c r="H8" s="3" t="s">
        <v>124</v>
      </c>
      <c r="I8" s="4" t="s">
        <v>81</v>
      </c>
      <c r="J8" s="3" t="s">
        <v>125</v>
      </c>
      <c r="K8" s="4" t="n">
        <v>2</v>
      </c>
      <c r="L8" s="4" t="n">
        <v>3</v>
      </c>
      <c r="M8" s="4" t="n">
        <v>3</v>
      </c>
      <c r="N8" s="4" t="n">
        <v>2</v>
      </c>
      <c r="O8" s="4" t="n">
        <v>2</v>
      </c>
      <c r="P8" s="4" t="n">
        <v>5</v>
      </c>
      <c r="Q8" s="5" t="n">
        <f aca="false">ROUND(K8*0.25+L8*0.2+M8*0.2+N8*0.15+O8*0.1+P8*0.1,2)</f>
        <v>2.7</v>
      </c>
      <c r="R8" s="3" t="s">
        <v>126</v>
      </c>
      <c r="S8" s="3" t="s">
        <v>127</v>
      </c>
      <c r="T8" s="3" t="s">
        <v>128</v>
      </c>
      <c r="U8" s="3" t="s">
        <v>129</v>
      </c>
      <c r="V8" s="3" t="s">
        <v>56</v>
      </c>
      <c r="W8" s="10" t="s">
        <v>101</v>
      </c>
      <c r="X8" s="7" t="n">
        <v>11</v>
      </c>
      <c r="Y8" s="3" t="s">
        <v>130</v>
      </c>
    </row>
    <row r="9" customFormat="false" ht="15" hidden="false" customHeight="true" outlineLevel="0" collapsed="false">
      <c r="A9" s="3" t="s">
        <v>131</v>
      </c>
      <c r="B9" s="3" t="s">
        <v>132</v>
      </c>
      <c r="C9" s="3" t="s">
        <v>27</v>
      </c>
      <c r="D9" s="3" t="s">
        <v>133</v>
      </c>
      <c r="E9" s="3" t="s">
        <v>134</v>
      </c>
      <c r="F9" s="3" t="s">
        <v>135</v>
      </c>
      <c r="G9" s="3" t="s">
        <v>136</v>
      </c>
      <c r="H9" s="3" t="s">
        <v>137</v>
      </c>
      <c r="I9" s="4" t="s">
        <v>138</v>
      </c>
      <c r="J9" s="3" t="s">
        <v>139</v>
      </c>
      <c r="K9" s="4" t="n">
        <v>1</v>
      </c>
      <c r="L9" s="4" t="n">
        <v>3</v>
      </c>
      <c r="M9" s="4" t="n">
        <v>3</v>
      </c>
      <c r="N9" s="4" t="n">
        <v>4</v>
      </c>
      <c r="O9" s="4" t="n">
        <v>1</v>
      </c>
      <c r="P9" s="4" t="n">
        <v>5</v>
      </c>
      <c r="Q9" s="5" t="n">
        <f aca="false">ROUND(K9*0.25+L9*0.2+M9*0.2+N9*0.15+O9*0.1+P9*0.1,2)</f>
        <v>2.65</v>
      </c>
      <c r="R9" s="3" t="s">
        <v>140</v>
      </c>
      <c r="S9" s="3" t="s">
        <v>141</v>
      </c>
      <c r="T9" s="3" t="s">
        <v>142</v>
      </c>
      <c r="U9" s="3" t="s">
        <v>143</v>
      </c>
      <c r="V9" s="3" t="s">
        <v>144</v>
      </c>
      <c r="W9" s="10" t="s">
        <v>101</v>
      </c>
      <c r="X9" s="7" t="n">
        <v>12</v>
      </c>
      <c r="Y9" s="3" t="s">
        <v>145</v>
      </c>
    </row>
    <row r="10" customFormat="false" ht="15" hidden="false" customHeight="true" outlineLevel="0" collapsed="false">
      <c r="A10" s="3" t="s">
        <v>146</v>
      </c>
      <c r="B10" s="3" t="s">
        <v>147</v>
      </c>
      <c r="C10" s="3" t="s">
        <v>148</v>
      </c>
      <c r="D10" s="3" t="s">
        <v>149</v>
      </c>
      <c r="E10" s="3" t="s">
        <v>150</v>
      </c>
      <c r="F10" s="3" t="s">
        <v>151</v>
      </c>
      <c r="G10" s="3" t="s">
        <v>152</v>
      </c>
      <c r="H10" s="3" t="s">
        <v>153</v>
      </c>
      <c r="I10" s="4" t="s">
        <v>154</v>
      </c>
      <c r="J10" s="3" t="s">
        <v>155</v>
      </c>
      <c r="K10" s="4" t="n">
        <v>5</v>
      </c>
      <c r="L10" s="4" t="n">
        <v>5</v>
      </c>
      <c r="M10" s="4" t="n">
        <v>5</v>
      </c>
      <c r="N10" s="4" t="n">
        <v>1</v>
      </c>
      <c r="O10" s="4" t="n">
        <v>4</v>
      </c>
      <c r="P10" s="4" t="n">
        <v>3</v>
      </c>
      <c r="Q10" s="5" t="n">
        <f aca="false">ROUND(K10*0.25+L10*0.2+M10*0.2+N10*0.15+O10*0.1+P10*0.1,2)</f>
        <v>4.1</v>
      </c>
      <c r="R10" s="3" t="s">
        <v>156</v>
      </c>
      <c r="S10" s="3" t="s">
        <v>157</v>
      </c>
      <c r="T10" s="3" t="s">
        <v>158</v>
      </c>
      <c r="U10" s="3" t="s">
        <v>159</v>
      </c>
      <c r="V10" s="3" t="s">
        <v>56</v>
      </c>
      <c r="W10" s="11" t="s">
        <v>116</v>
      </c>
      <c r="X10" s="7" t="n">
        <v>1</v>
      </c>
      <c r="Y10" s="3" t="s">
        <v>160</v>
      </c>
    </row>
    <row r="11" customFormat="false" ht="15" hidden="false" customHeight="true" outlineLevel="0" collapsed="false">
      <c r="A11" s="3" t="s">
        <v>161</v>
      </c>
      <c r="B11" s="3" t="s">
        <v>162</v>
      </c>
      <c r="C11" s="3" t="s">
        <v>148</v>
      </c>
      <c r="D11" s="3" t="s">
        <v>163</v>
      </c>
      <c r="E11" s="3" t="s">
        <v>164</v>
      </c>
      <c r="F11" s="3" t="s">
        <v>165</v>
      </c>
      <c r="G11" s="3" t="s">
        <v>166</v>
      </c>
      <c r="H11" s="3" t="s">
        <v>167</v>
      </c>
      <c r="I11" s="4" t="s">
        <v>168</v>
      </c>
      <c r="J11" s="3" t="s">
        <v>169</v>
      </c>
      <c r="K11" s="4" t="n">
        <v>5</v>
      </c>
      <c r="L11" s="4" t="n">
        <v>4</v>
      </c>
      <c r="M11" s="4" t="n">
        <v>3</v>
      </c>
      <c r="N11" s="4" t="n">
        <v>2</v>
      </c>
      <c r="O11" s="4" t="n">
        <v>3</v>
      </c>
      <c r="P11" s="4" t="n">
        <v>3</v>
      </c>
      <c r="Q11" s="5" t="n">
        <f aca="false">ROUND(K11*0.25+L11*0.2+M11*0.2+N11*0.15+O11*0.1+P11*0.1,2)</f>
        <v>3.55</v>
      </c>
      <c r="R11" s="3" t="s">
        <v>170</v>
      </c>
      <c r="S11" s="3" t="s">
        <v>171</v>
      </c>
      <c r="T11" s="3" t="s">
        <v>172</v>
      </c>
      <c r="U11" s="3" t="s">
        <v>173</v>
      </c>
      <c r="V11" s="3" t="s">
        <v>56</v>
      </c>
      <c r="W11" s="11" t="s">
        <v>116</v>
      </c>
      <c r="X11" s="7" t="n">
        <v>3</v>
      </c>
      <c r="Y11" s="3" t="s">
        <v>160</v>
      </c>
    </row>
    <row r="12" customFormat="false" ht="15" hidden="false" customHeight="true" outlineLevel="0" collapsed="false">
      <c r="A12" s="3" t="s">
        <v>174</v>
      </c>
      <c r="B12" s="3" t="s">
        <v>175</v>
      </c>
      <c r="C12" s="3" t="s">
        <v>176</v>
      </c>
      <c r="D12" s="3" t="s">
        <v>177</v>
      </c>
      <c r="E12" s="3" t="s">
        <v>178</v>
      </c>
      <c r="F12" s="3" t="s">
        <v>179</v>
      </c>
      <c r="G12" s="3" t="s">
        <v>180</v>
      </c>
      <c r="H12" s="3" t="s">
        <v>181</v>
      </c>
      <c r="I12" s="4" t="s">
        <v>168</v>
      </c>
      <c r="J12" s="3" t="s">
        <v>51</v>
      </c>
      <c r="K12" s="4" t="n">
        <v>3</v>
      </c>
      <c r="L12" s="4" t="n">
        <v>3</v>
      </c>
      <c r="M12" s="4" t="n">
        <v>3</v>
      </c>
      <c r="N12" s="4" t="n">
        <v>3</v>
      </c>
      <c r="O12" s="4" t="n">
        <v>2</v>
      </c>
      <c r="P12" s="4" t="n">
        <v>5</v>
      </c>
      <c r="Q12" s="5" t="n">
        <f aca="false">ROUND(K12*0.25+L12*0.2+M12*0.2+N12*0.15+O12*0.1+P12*0.1,2)</f>
        <v>3.1</v>
      </c>
      <c r="R12" s="3" t="s">
        <v>182</v>
      </c>
      <c r="S12" s="3" t="s">
        <v>183</v>
      </c>
      <c r="T12" s="3" t="s">
        <v>184</v>
      </c>
      <c r="U12" s="3" t="s">
        <v>185</v>
      </c>
      <c r="V12" s="3" t="s">
        <v>144</v>
      </c>
      <c r="W12" s="9" t="s">
        <v>72</v>
      </c>
      <c r="X12" s="7" t="n">
        <v>8</v>
      </c>
      <c r="Y12" s="3" t="s">
        <v>186</v>
      </c>
    </row>
    <row r="13" customFormat="false" ht="15" hidden="false" customHeight="true" outlineLevel="0" collapsed="false">
      <c r="A13" s="3" t="s">
        <v>187</v>
      </c>
      <c r="B13" s="3" t="s">
        <v>188</v>
      </c>
      <c r="C13" s="3" t="s">
        <v>176</v>
      </c>
      <c r="D13" s="3" t="s">
        <v>189</v>
      </c>
      <c r="E13" s="3" t="s">
        <v>190</v>
      </c>
      <c r="F13" s="3" t="s">
        <v>191</v>
      </c>
      <c r="G13" s="3" t="s">
        <v>192</v>
      </c>
      <c r="H13" s="3" t="s">
        <v>193</v>
      </c>
      <c r="I13" s="4" t="s">
        <v>194</v>
      </c>
      <c r="J13" s="3" t="s">
        <v>51</v>
      </c>
      <c r="K13" s="4" t="n">
        <v>3</v>
      </c>
      <c r="L13" s="4" t="n">
        <v>4</v>
      </c>
      <c r="M13" s="4" t="n">
        <v>4</v>
      </c>
      <c r="N13" s="4" t="n">
        <v>3</v>
      </c>
      <c r="O13" s="4" t="n">
        <v>2</v>
      </c>
      <c r="P13" s="4" t="n">
        <v>5</v>
      </c>
      <c r="Q13" s="5" t="n">
        <f aca="false">ROUND(K13*0.25+L13*0.2+M13*0.2+N13*0.15+O13*0.1+P13*0.1,2)</f>
        <v>3.5</v>
      </c>
      <c r="R13" s="3" t="s">
        <v>195</v>
      </c>
      <c r="S13" s="3" t="s">
        <v>196</v>
      </c>
      <c r="T13" s="3" t="s">
        <v>197</v>
      </c>
      <c r="U13" s="3" t="s">
        <v>198</v>
      </c>
      <c r="V13" s="3" t="s">
        <v>56</v>
      </c>
      <c r="W13" s="8" t="s">
        <v>57</v>
      </c>
      <c r="X13" s="7" t="n">
        <v>6</v>
      </c>
      <c r="Y13" s="3" t="s">
        <v>199</v>
      </c>
    </row>
    <row r="14" customFormat="false" ht="15" hidden="false" customHeight="true" outlineLevel="0" collapsed="false">
      <c r="A14" s="3" t="s">
        <v>200</v>
      </c>
      <c r="B14" s="3" t="s">
        <v>201</v>
      </c>
      <c r="C14" s="3" t="s">
        <v>176</v>
      </c>
      <c r="D14" s="3" t="s">
        <v>202</v>
      </c>
      <c r="E14" s="3" t="s">
        <v>203</v>
      </c>
      <c r="F14" s="3" t="s">
        <v>204</v>
      </c>
      <c r="G14" s="3" t="s">
        <v>205</v>
      </c>
      <c r="H14" s="3" t="s">
        <v>206</v>
      </c>
      <c r="I14" s="4" t="s">
        <v>207</v>
      </c>
      <c r="J14" s="3" t="s">
        <v>139</v>
      </c>
      <c r="K14" s="4" t="n">
        <v>2</v>
      </c>
      <c r="L14" s="4" t="n">
        <v>3</v>
      </c>
      <c r="M14" s="4" t="n">
        <v>3</v>
      </c>
      <c r="N14" s="4" t="n">
        <v>3</v>
      </c>
      <c r="O14" s="4" t="n">
        <v>1</v>
      </c>
      <c r="P14" s="4" t="n">
        <v>5</v>
      </c>
      <c r="Q14" s="5" t="n">
        <f aca="false">ROUND(K14*0.25+L14*0.2+M14*0.2+N14*0.15+O14*0.1+P14*0.1,2)</f>
        <v>2.75</v>
      </c>
      <c r="R14" s="3" t="s">
        <v>208</v>
      </c>
      <c r="S14" s="3" t="s">
        <v>209</v>
      </c>
      <c r="T14" s="3" t="s">
        <v>210</v>
      </c>
      <c r="U14" s="3" t="s">
        <v>211</v>
      </c>
      <c r="V14" s="3" t="s">
        <v>144</v>
      </c>
      <c r="W14" s="10" t="s">
        <v>101</v>
      </c>
      <c r="X14" s="7" t="n">
        <v>13</v>
      </c>
      <c r="Y14" s="3" t="s">
        <v>212</v>
      </c>
    </row>
    <row r="15" customFormat="false" ht="15" hidden="false" customHeight="true" outlineLevel="0" collapsed="false">
      <c r="A15" s="3" t="s">
        <v>213</v>
      </c>
      <c r="B15" s="3" t="s">
        <v>214</v>
      </c>
      <c r="C15" s="3" t="s">
        <v>176</v>
      </c>
      <c r="D15" s="3" t="s">
        <v>215</v>
      </c>
      <c r="E15" s="3" t="s">
        <v>216</v>
      </c>
      <c r="F15" s="3" t="s">
        <v>217</v>
      </c>
      <c r="G15" s="3" t="s">
        <v>218</v>
      </c>
      <c r="H15" s="3" t="s">
        <v>219</v>
      </c>
      <c r="I15" s="4" t="s">
        <v>220</v>
      </c>
      <c r="J15" s="3" t="s">
        <v>221</v>
      </c>
      <c r="K15" s="4" t="n">
        <v>2</v>
      </c>
      <c r="L15" s="4" t="n">
        <v>3</v>
      </c>
      <c r="M15" s="4" t="n">
        <v>3</v>
      </c>
      <c r="N15" s="4" t="n">
        <v>4</v>
      </c>
      <c r="O15" s="4" t="n">
        <v>1</v>
      </c>
      <c r="P15" s="4" t="n">
        <v>4</v>
      </c>
      <c r="Q15" s="5" t="n">
        <f aca="false">ROUND(K15*0.25+L15*0.2+M15*0.2+N15*0.15+O15*0.1+P15*0.1,2)</f>
        <v>2.8</v>
      </c>
      <c r="R15" s="3" t="s">
        <v>222</v>
      </c>
      <c r="S15" s="3" t="s">
        <v>223</v>
      </c>
      <c r="T15" s="3" t="s">
        <v>224</v>
      </c>
      <c r="U15" s="3" t="s">
        <v>225</v>
      </c>
      <c r="V15" s="3" t="s">
        <v>144</v>
      </c>
      <c r="W15" s="9" t="s">
        <v>72</v>
      </c>
      <c r="X15" s="7" t="n">
        <v>9</v>
      </c>
      <c r="Y15" s="3" t="s">
        <v>226</v>
      </c>
    </row>
    <row r="16" customFormat="false" ht="15" hidden="false" customHeight="true" outlineLevel="0" collapsed="false">
      <c r="A16" s="3" t="s">
        <v>227</v>
      </c>
      <c r="B16" s="3" t="s">
        <v>228</v>
      </c>
      <c r="C16" s="3" t="s">
        <v>176</v>
      </c>
      <c r="D16" s="3" t="s">
        <v>229</v>
      </c>
      <c r="E16" s="3" t="s">
        <v>230</v>
      </c>
      <c r="F16" s="3" t="s">
        <v>231</v>
      </c>
      <c r="G16" s="3" t="s">
        <v>232</v>
      </c>
      <c r="H16" s="3" t="s">
        <v>233</v>
      </c>
      <c r="I16" s="4" t="s">
        <v>168</v>
      </c>
      <c r="J16" s="3" t="s">
        <v>234</v>
      </c>
      <c r="K16" s="4" t="n">
        <v>2</v>
      </c>
      <c r="L16" s="4" t="n">
        <v>2</v>
      </c>
      <c r="M16" s="4" t="n">
        <v>3</v>
      </c>
      <c r="N16" s="4" t="n">
        <v>4</v>
      </c>
      <c r="O16" s="4" t="n">
        <v>2</v>
      </c>
      <c r="P16" s="4" t="n">
        <v>5</v>
      </c>
      <c r="Q16" s="5" t="n">
        <f aca="false">ROUND(K16*0.25+L16*0.2+M16*0.2+N16*0.15+O16*0.1+P16*0.1,2)</f>
        <v>2.8</v>
      </c>
      <c r="R16" s="3" t="s">
        <v>235</v>
      </c>
      <c r="S16" s="3" t="s">
        <v>236</v>
      </c>
      <c r="T16" s="3" t="s">
        <v>237</v>
      </c>
      <c r="U16" s="3" t="s">
        <v>238</v>
      </c>
      <c r="V16" s="3" t="s">
        <v>144</v>
      </c>
      <c r="W16" s="10" t="s">
        <v>101</v>
      </c>
      <c r="X16" s="7" t="n">
        <v>14</v>
      </c>
      <c r="Y16" s="3" t="s">
        <v>239</v>
      </c>
    </row>
    <row r="17" customFormat="false" ht="15" hidden="false" customHeight="true" outlineLevel="0" collapsed="false">
      <c r="A17" s="12" t="s">
        <v>240</v>
      </c>
      <c r="B17" s="13"/>
      <c r="C17" s="13"/>
      <c r="D17" s="13"/>
      <c r="E17" s="13"/>
      <c r="F17" s="13"/>
      <c r="G17" s="13"/>
      <c r="H17" s="13"/>
      <c r="I17" s="14"/>
      <c r="J17" s="13"/>
      <c r="K17" s="14"/>
      <c r="L17" s="14"/>
      <c r="M17" s="14"/>
      <c r="N17" s="14"/>
      <c r="O17" s="14"/>
      <c r="P17" s="14"/>
      <c r="Q17" s="5" t="str">
        <f aca="false">IF(K17="","",ROUND(K17*0.25+L17*0.2+M17*0.2+N17*0.15+O17*0.1+P17*0.1,2))</f>
        <v/>
      </c>
      <c r="R17" s="13"/>
      <c r="S17" s="13"/>
      <c r="T17" s="13"/>
      <c r="U17" s="13"/>
      <c r="V17" s="13"/>
      <c r="W17" s="13"/>
      <c r="X17" s="13"/>
      <c r="Y17" s="13"/>
    </row>
    <row r="18" customFormat="false" ht="15" hidden="false" customHeight="true" outlineLevel="0" collapsed="false">
      <c r="A18" s="12" t="s">
        <v>241</v>
      </c>
      <c r="B18" s="13"/>
      <c r="C18" s="13"/>
      <c r="D18" s="13"/>
      <c r="E18" s="13"/>
      <c r="F18" s="13"/>
      <c r="G18" s="13"/>
      <c r="H18" s="13"/>
      <c r="I18" s="14"/>
      <c r="J18" s="13"/>
      <c r="K18" s="14"/>
      <c r="L18" s="14"/>
      <c r="M18" s="14"/>
      <c r="N18" s="14"/>
      <c r="O18" s="14"/>
      <c r="P18" s="14"/>
      <c r="Q18" s="5" t="str">
        <f aca="false">IF(K18="","",ROUND(K18*0.25+L18*0.2+M18*0.2+N18*0.15+O18*0.1+P18*0.1,2))</f>
        <v/>
      </c>
      <c r="R18" s="13"/>
      <c r="S18" s="13"/>
      <c r="T18" s="13"/>
      <c r="U18" s="13"/>
      <c r="V18" s="13"/>
      <c r="W18" s="13"/>
      <c r="X18" s="13"/>
      <c r="Y18" s="13"/>
    </row>
    <row r="19" customFormat="false" ht="15" hidden="false" customHeight="true" outlineLevel="0" collapsed="false">
      <c r="A19" s="12" t="s">
        <v>242</v>
      </c>
      <c r="B19" s="13"/>
      <c r="C19" s="13"/>
      <c r="D19" s="13"/>
      <c r="E19" s="13"/>
      <c r="F19" s="13"/>
      <c r="G19" s="13"/>
      <c r="H19" s="13"/>
      <c r="I19" s="14"/>
      <c r="J19" s="13"/>
      <c r="K19" s="14"/>
      <c r="L19" s="14"/>
      <c r="M19" s="14"/>
      <c r="N19" s="14"/>
      <c r="O19" s="14"/>
      <c r="P19" s="14"/>
      <c r="Q19" s="5" t="str">
        <f aca="false">IF(K19="","",ROUND(K19*0.25+L19*0.2+M19*0.2+N19*0.15+O19*0.1+P19*0.1,2))</f>
        <v/>
      </c>
      <c r="R19" s="13"/>
      <c r="S19" s="13"/>
      <c r="T19" s="13"/>
      <c r="U19" s="13"/>
      <c r="V19" s="13"/>
      <c r="W19" s="13"/>
      <c r="X19" s="13"/>
      <c r="Y19" s="13"/>
    </row>
    <row r="20" customFormat="false" ht="15" hidden="false" customHeight="true" outlineLevel="0" collapsed="false">
      <c r="A20" s="12" t="s">
        <v>243</v>
      </c>
      <c r="B20" s="13"/>
      <c r="C20" s="13"/>
      <c r="D20" s="13"/>
      <c r="E20" s="13"/>
      <c r="F20" s="13"/>
      <c r="G20" s="13"/>
      <c r="H20" s="13"/>
      <c r="I20" s="14"/>
      <c r="J20" s="13"/>
      <c r="K20" s="14"/>
      <c r="L20" s="14"/>
      <c r="M20" s="14"/>
      <c r="N20" s="14"/>
      <c r="O20" s="14"/>
      <c r="P20" s="14"/>
      <c r="Q20" s="5" t="str">
        <f aca="false">IF(K20="","",ROUND(K20*0.25+L20*0.2+M20*0.2+N20*0.15+O20*0.1+P20*0.1,2))</f>
        <v/>
      </c>
      <c r="R20" s="13"/>
      <c r="S20" s="13"/>
      <c r="T20" s="13"/>
      <c r="U20" s="13"/>
      <c r="V20" s="13"/>
      <c r="W20" s="13"/>
      <c r="X20" s="13"/>
      <c r="Y20" s="13"/>
    </row>
    <row r="21" customFormat="false" ht="15" hidden="false" customHeight="true" outlineLevel="0" collapsed="false">
      <c r="A21" s="12" t="s">
        <v>244</v>
      </c>
      <c r="B21" s="13"/>
      <c r="C21" s="13"/>
      <c r="D21" s="13"/>
      <c r="E21" s="13"/>
      <c r="F21" s="13"/>
      <c r="G21" s="13"/>
      <c r="H21" s="13"/>
      <c r="I21" s="14"/>
      <c r="J21" s="13"/>
      <c r="K21" s="14"/>
      <c r="L21" s="14"/>
      <c r="M21" s="14"/>
      <c r="N21" s="14"/>
      <c r="O21" s="14"/>
      <c r="P21" s="14"/>
      <c r="Q21" s="5" t="str">
        <f aca="false">IF(K21="","",ROUND(K21*0.25+L21*0.2+M21*0.2+N21*0.15+O21*0.1+P21*0.1,2))</f>
        <v/>
      </c>
      <c r="R21" s="13"/>
      <c r="S21" s="13"/>
      <c r="T21" s="13"/>
      <c r="U21" s="13"/>
      <c r="V21" s="13"/>
      <c r="W21" s="13"/>
      <c r="X21" s="13"/>
      <c r="Y21" s="13"/>
    </row>
  </sheetData>
  <autoFilter ref="A1: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3" min="2" style="1" width="14"/>
    <col collapsed="false" customWidth="true" hidden="false" outlineLevel="0" max="5" min="4" style="1" width="22"/>
    <col collapsed="false" customWidth="true" hidden="false" outlineLevel="0" max="7" min="6" style="1" width="30"/>
    <col collapsed="false" customWidth="true" hidden="false" outlineLevel="0" max="8" min="8" style="1" width="22"/>
    <col collapsed="false" customWidth="true" hidden="false" outlineLevel="0" max="9" min="9" style="1" width="24"/>
    <col collapsed="false" customWidth="true" hidden="false" outlineLevel="0" max="11" min="10" style="1" width="16"/>
    <col collapsed="false" customWidth="true" hidden="false" outlineLevel="0" max="13" min="12" style="1" width="36"/>
  </cols>
  <sheetData>
    <row r="1" customFormat="false" ht="31.5" hidden="false" customHeight="true" outlineLevel="0" collapsed="false">
      <c r="A1" s="2" t="s">
        <v>245</v>
      </c>
      <c r="B1" s="2" t="s">
        <v>246</v>
      </c>
      <c r="C1" s="2" t="s">
        <v>247</v>
      </c>
      <c r="D1" s="2" t="s">
        <v>248</v>
      </c>
      <c r="E1" s="2" t="s">
        <v>249</v>
      </c>
      <c r="F1" s="2" t="s">
        <v>250</v>
      </c>
      <c r="G1" s="2" t="s">
        <v>251</v>
      </c>
      <c r="H1" s="2" t="s">
        <v>252</v>
      </c>
      <c r="I1" s="2" t="s">
        <v>253</v>
      </c>
      <c r="J1" s="2" t="s">
        <v>254</v>
      </c>
      <c r="K1" s="2" t="s">
        <v>255</v>
      </c>
      <c r="L1" s="2" t="s">
        <v>256</v>
      </c>
      <c r="M1" s="2" t="s">
        <v>257</v>
      </c>
    </row>
    <row r="2" customFormat="false" ht="57" hidden="false" customHeight="true" outlineLevel="0" collapsed="false">
      <c r="A2" s="3" t="s">
        <v>30</v>
      </c>
      <c r="B2" s="3" t="s">
        <v>258</v>
      </c>
      <c r="C2" s="3" t="s">
        <v>259</v>
      </c>
      <c r="D2" s="3" t="s">
        <v>260</v>
      </c>
      <c r="E2" s="3" t="s">
        <v>261</v>
      </c>
      <c r="F2" s="3" t="s">
        <v>262</v>
      </c>
      <c r="G2" s="3" t="s">
        <v>263</v>
      </c>
      <c r="H2" s="3" t="s">
        <v>264</v>
      </c>
      <c r="I2" s="3" t="s">
        <v>265</v>
      </c>
      <c r="J2" s="3" t="s">
        <v>266</v>
      </c>
      <c r="K2" s="3" t="s">
        <v>267</v>
      </c>
      <c r="L2" s="3" t="s">
        <v>268</v>
      </c>
      <c r="M2" s="3" t="s">
        <v>269</v>
      </c>
    </row>
    <row r="3" customFormat="false" ht="45.75" hidden="false" customHeight="true" outlineLevel="0" collapsed="false">
      <c r="A3" s="3" t="s">
        <v>107</v>
      </c>
      <c r="B3" s="3" t="s">
        <v>258</v>
      </c>
      <c r="C3" s="3" t="s">
        <v>270</v>
      </c>
      <c r="D3" s="3" t="s">
        <v>271</v>
      </c>
      <c r="E3" s="3" t="s">
        <v>272</v>
      </c>
      <c r="F3" s="3" t="s">
        <v>273</v>
      </c>
      <c r="G3" s="3" t="s">
        <v>274</v>
      </c>
      <c r="H3" s="3" t="s">
        <v>275</v>
      </c>
      <c r="I3" s="3" t="s">
        <v>276</v>
      </c>
      <c r="J3" s="3" t="s">
        <v>277</v>
      </c>
      <c r="K3" s="3" t="s">
        <v>278</v>
      </c>
      <c r="L3" s="3" t="s">
        <v>279</v>
      </c>
      <c r="M3" s="3" t="s">
        <v>280</v>
      </c>
    </row>
    <row r="4" customFormat="false" ht="45.75" hidden="false" customHeight="true" outlineLevel="0" collapsed="false">
      <c r="A4" s="3" t="s">
        <v>281</v>
      </c>
      <c r="B4" s="3" t="s">
        <v>282</v>
      </c>
      <c r="C4" s="3" t="s">
        <v>283</v>
      </c>
      <c r="D4" s="3" t="s">
        <v>284</v>
      </c>
      <c r="E4" s="3" t="s">
        <v>285</v>
      </c>
      <c r="F4" s="3" t="s">
        <v>286</v>
      </c>
      <c r="G4" s="3" t="s">
        <v>287</v>
      </c>
      <c r="H4" s="3" t="s">
        <v>288</v>
      </c>
      <c r="I4" s="3" t="s">
        <v>289</v>
      </c>
      <c r="J4" s="3" t="s">
        <v>290</v>
      </c>
      <c r="K4" s="3" t="s">
        <v>291</v>
      </c>
      <c r="L4" s="3" t="s">
        <v>292</v>
      </c>
      <c r="M4" s="3" t="s">
        <v>293</v>
      </c>
    </row>
    <row r="5" customFormat="false" ht="45.75" hidden="false" customHeight="true" outlineLevel="0" collapsed="false">
      <c r="A5" s="3" t="s">
        <v>294</v>
      </c>
      <c r="B5" s="3" t="s">
        <v>282</v>
      </c>
      <c r="C5" s="3" t="s">
        <v>295</v>
      </c>
      <c r="D5" s="3" t="s">
        <v>296</v>
      </c>
      <c r="E5" s="3" t="s">
        <v>297</v>
      </c>
      <c r="F5" s="3" t="s">
        <v>298</v>
      </c>
      <c r="G5" s="3" t="s">
        <v>299</v>
      </c>
      <c r="H5" s="3" t="s">
        <v>288</v>
      </c>
      <c r="I5" s="3" t="s">
        <v>300</v>
      </c>
      <c r="J5" s="3" t="s">
        <v>290</v>
      </c>
      <c r="K5" s="3" t="s">
        <v>301</v>
      </c>
      <c r="L5" s="3" t="s">
        <v>302</v>
      </c>
      <c r="M5" s="3" t="s">
        <v>303</v>
      </c>
    </row>
    <row r="6" customFormat="false" ht="45.75" hidden="false" customHeight="true" outlineLevel="0" collapsed="false">
      <c r="A6" s="3" t="s">
        <v>304</v>
      </c>
      <c r="B6" s="3" t="s">
        <v>258</v>
      </c>
      <c r="C6" s="3" t="s">
        <v>305</v>
      </c>
      <c r="D6" s="3" t="s">
        <v>306</v>
      </c>
      <c r="E6" s="3" t="s">
        <v>307</v>
      </c>
      <c r="F6" s="3" t="s">
        <v>308</v>
      </c>
      <c r="G6" s="3" t="s">
        <v>309</v>
      </c>
      <c r="H6" s="3" t="s">
        <v>310</v>
      </c>
      <c r="I6" s="3" t="s">
        <v>311</v>
      </c>
      <c r="J6" s="3" t="s">
        <v>312</v>
      </c>
      <c r="K6" s="3" t="s">
        <v>313</v>
      </c>
      <c r="L6" s="3" t="s">
        <v>314</v>
      </c>
      <c r="M6" s="3" t="s">
        <v>315</v>
      </c>
    </row>
    <row r="7" customFormat="false" ht="34.5" hidden="false" customHeight="true" outlineLevel="0" collapsed="false">
      <c r="A7" s="3" t="s">
        <v>316</v>
      </c>
      <c r="B7" s="3" t="s">
        <v>258</v>
      </c>
      <c r="C7" s="3" t="s">
        <v>317</v>
      </c>
      <c r="D7" s="3" t="s">
        <v>318</v>
      </c>
      <c r="E7" s="3" t="s">
        <v>319</v>
      </c>
      <c r="F7" s="3" t="s">
        <v>320</v>
      </c>
      <c r="G7" s="3" t="s">
        <v>321</v>
      </c>
      <c r="H7" s="3" t="s">
        <v>322</v>
      </c>
      <c r="I7" s="3" t="s">
        <v>323</v>
      </c>
      <c r="J7" s="3" t="s">
        <v>324</v>
      </c>
      <c r="K7" s="3" t="s">
        <v>325</v>
      </c>
      <c r="L7" s="3" t="s">
        <v>326</v>
      </c>
      <c r="M7" s="3"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10"/>
    <col collapsed="false" customWidth="true" hidden="false" outlineLevel="0" max="5" min="3" style="1" width="40"/>
  </cols>
  <sheetData>
    <row r="1" customFormat="false" ht="15" hidden="false" customHeight="true" outlineLevel="0" collapsed="false">
      <c r="A1" s="15" t="s">
        <v>328</v>
      </c>
      <c r="B1" s="15" t="s">
        <v>329</v>
      </c>
      <c r="C1" s="15" t="s">
        <v>330</v>
      </c>
      <c r="D1" s="15" t="s">
        <v>331</v>
      </c>
      <c r="E1" s="15" t="s">
        <v>332</v>
      </c>
    </row>
    <row r="2" customFormat="false" ht="15" hidden="false" customHeight="true" outlineLevel="0" collapsed="false">
      <c r="A2" s="3" t="s">
        <v>333</v>
      </c>
      <c r="B2" s="3" t="s">
        <v>334</v>
      </c>
      <c r="C2" s="3" t="s">
        <v>335</v>
      </c>
      <c r="D2" s="3" t="s">
        <v>336</v>
      </c>
      <c r="E2" s="3" t="s">
        <v>337</v>
      </c>
    </row>
    <row r="3" customFormat="false" ht="15" hidden="false" customHeight="true" outlineLevel="0" collapsed="false">
      <c r="A3" s="3" t="s">
        <v>338</v>
      </c>
      <c r="B3" s="3" t="s">
        <v>339</v>
      </c>
      <c r="C3" s="3" t="s">
        <v>340</v>
      </c>
      <c r="D3" s="3" t="s">
        <v>341</v>
      </c>
      <c r="E3" s="3" t="s">
        <v>342</v>
      </c>
    </row>
    <row r="4" customFormat="false" ht="23.25" hidden="false" customHeight="true" outlineLevel="0" collapsed="false">
      <c r="A4" s="3" t="s">
        <v>343</v>
      </c>
      <c r="B4" s="3" t="s">
        <v>339</v>
      </c>
      <c r="C4" s="3" t="s">
        <v>344</v>
      </c>
      <c r="D4" s="3" t="s">
        <v>345</v>
      </c>
      <c r="E4" s="3" t="s">
        <v>346</v>
      </c>
    </row>
    <row r="5" customFormat="false" ht="15" hidden="false" customHeight="true" outlineLevel="0" collapsed="false">
      <c r="A5" s="3" t="s">
        <v>347</v>
      </c>
      <c r="B5" s="3" t="s">
        <v>348</v>
      </c>
      <c r="C5" s="3" t="s">
        <v>349</v>
      </c>
      <c r="D5" s="3" t="s">
        <v>350</v>
      </c>
      <c r="E5" s="3" t="s">
        <v>351</v>
      </c>
    </row>
    <row r="6" customFormat="false" ht="15" hidden="false" customHeight="true" outlineLevel="0" collapsed="false">
      <c r="A6" s="3" t="s">
        <v>352</v>
      </c>
      <c r="B6" s="3" t="s">
        <v>353</v>
      </c>
      <c r="C6" s="3" t="s">
        <v>354</v>
      </c>
      <c r="D6" s="3" t="s">
        <v>355</v>
      </c>
      <c r="E6" s="3" t="s">
        <v>356</v>
      </c>
    </row>
    <row r="7" customFormat="false" ht="15" hidden="false" customHeight="true" outlineLevel="0" collapsed="false">
      <c r="A7" s="3" t="s">
        <v>357</v>
      </c>
      <c r="B7" s="3" t="s">
        <v>353</v>
      </c>
      <c r="C7" s="3" t="s">
        <v>358</v>
      </c>
      <c r="D7" s="3" t="s">
        <v>359</v>
      </c>
      <c r="E7" s="3" t="s">
        <v>360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8"/>
    <col collapsed="false" customWidth="true" hidden="false" outlineLevel="0" max="3" min="3" style="1" width="18"/>
    <col collapsed="false" customWidth="true" hidden="false" outlineLevel="0" max="4" min="4" style="1" width="16"/>
    <col collapsed="false" customWidth="true" hidden="false" outlineLevel="0" max="5" min="5" style="1" width="22"/>
    <col collapsed="false" customWidth="true" hidden="false" outlineLevel="0" max="6" min="6" style="1" width="70"/>
  </cols>
  <sheetData>
    <row r="1" customFormat="false" ht="15" hidden="false" customHeight="true" outlineLevel="0" collapsed="false">
      <c r="A1" s="2" t="s">
        <v>361</v>
      </c>
      <c r="B1" s="2" t="s">
        <v>362</v>
      </c>
      <c r="C1" s="2" t="s">
        <v>21</v>
      </c>
      <c r="D1" s="2" t="s">
        <v>363</v>
      </c>
      <c r="E1" s="2" t="s">
        <v>364</v>
      </c>
      <c r="F1" s="2" t="s">
        <v>257</v>
      </c>
    </row>
    <row r="2" customFormat="false" ht="23.25" hidden="false" customHeight="true" outlineLevel="0" collapsed="false">
      <c r="A2" s="3" t="s">
        <v>365</v>
      </c>
      <c r="B2" s="3" t="s">
        <v>366</v>
      </c>
      <c r="C2" s="3" t="s">
        <v>367</v>
      </c>
      <c r="D2" s="16" t="s">
        <v>368</v>
      </c>
      <c r="E2" s="3" t="s">
        <v>369</v>
      </c>
      <c r="F2" s="3" t="s">
        <v>370</v>
      </c>
    </row>
    <row r="3" customFormat="false" ht="23.25" hidden="false" customHeight="true" outlineLevel="0" collapsed="false">
      <c r="A3" s="3" t="s">
        <v>371</v>
      </c>
      <c r="B3" s="3" t="s">
        <v>372</v>
      </c>
      <c r="C3" s="3" t="s">
        <v>373</v>
      </c>
      <c r="D3" s="16" t="s">
        <v>368</v>
      </c>
      <c r="E3" s="3" t="s">
        <v>369</v>
      </c>
      <c r="F3" s="3" t="s">
        <v>374</v>
      </c>
    </row>
    <row r="4" customFormat="false" ht="15" hidden="false" customHeight="true" outlineLevel="0" collapsed="false">
      <c r="A4" s="3" t="s">
        <v>375</v>
      </c>
      <c r="B4" s="3" t="s">
        <v>376</v>
      </c>
      <c r="C4" s="3" t="s">
        <v>377</v>
      </c>
      <c r="D4" s="16" t="s">
        <v>368</v>
      </c>
      <c r="E4" s="3" t="s">
        <v>369</v>
      </c>
      <c r="F4" s="3" t="s">
        <v>378</v>
      </c>
    </row>
    <row r="5" customFormat="false" ht="15" hidden="false" customHeight="true" outlineLevel="0" collapsed="false">
      <c r="A5" s="3" t="s">
        <v>379</v>
      </c>
      <c r="B5" s="3" t="s">
        <v>380</v>
      </c>
      <c r="C5" s="3" t="s">
        <v>381</v>
      </c>
      <c r="D5" s="16" t="s">
        <v>368</v>
      </c>
      <c r="E5" s="3" t="s">
        <v>382</v>
      </c>
      <c r="F5" s="3" t="s">
        <v>383</v>
      </c>
    </row>
    <row r="6" customFormat="false" ht="15" hidden="false" customHeight="true" outlineLevel="0" collapsed="false">
      <c r="A6" s="3" t="s">
        <v>384</v>
      </c>
      <c r="B6" s="3" t="s">
        <v>385</v>
      </c>
      <c r="C6" s="3" t="s">
        <v>386</v>
      </c>
      <c r="D6" s="16" t="s">
        <v>368</v>
      </c>
      <c r="E6" s="3" t="s">
        <v>382</v>
      </c>
      <c r="F6" s="3" t="s">
        <v>387</v>
      </c>
    </row>
    <row r="7" customFormat="false" ht="23.25" hidden="false" customHeight="true" outlineLevel="0" collapsed="false">
      <c r="A7" s="3" t="s">
        <v>388</v>
      </c>
      <c r="B7" s="3" t="s">
        <v>389</v>
      </c>
      <c r="C7" s="3" t="s">
        <v>390</v>
      </c>
      <c r="D7" s="16" t="s">
        <v>368</v>
      </c>
      <c r="E7" s="3" t="s">
        <v>382</v>
      </c>
      <c r="F7" s="3" t="s">
        <v>391</v>
      </c>
    </row>
    <row r="8" customFormat="false" ht="23.25" hidden="false" customHeight="true" outlineLevel="0" collapsed="false">
      <c r="A8" s="3" t="s">
        <v>392</v>
      </c>
      <c r="B8" s="3" t="s">
        <v>393</v>
      </c>
      <c r="C8" s="3" t="s">
        <v>394</v>
      </c>
      <c r="D8" s="16" t="s">
        <v>368</v>
      </c>
      <c r="E8" s="3" t="s">
        <v>395</v>
      </c>
      <c r="F8" s="3" t="s">
        <v>396</v>
      </c>
    </row>
    <row r="9" customFormat="false" ht="23.25" hidden="false" customHeight="true" outlineLevel="0" collapsed="false">
      <c r="A9" s="3" t="s">
        <v>397</v>
      </c>
      <c r="B9" s="3" t="s">
        <v>398</v>
      </c>
      <c r="C9" s="3" t="s">
        <v>399</v>
      </c>
      <c r="D9" s="16" t="s">
        <v>368</v>
      </c>
      <c r="E9" s="3" t="s">
        <v>395</v>
      </c>
      <c r="F9" s="3" t="s">
        <v>400</v>
      </c>
    </row>
    <row r="10" customFormat="false" ht="23.25" hidden="false" customHeight="true" outlineLevel="0" collapsed="false">
      <c r="A10" s="3" t="s">
        <v>401</v>
      </c>
      <c r="B10" s="3" t="s">
        <v>402</v>
      </c>
      <c r="C10" s="3" t="s">
        <v>403</v>
      </c>
      <c r="D10" s="3" t="s">
        <v>404</v>
      </c>
      <c r="E10" s="17" t="s">
        <v>368</v>
      </c>
      <c r="F10" s="3" t="s">
        <v>405</v>
      </c>
    </row>
    <row r="11" customFormat="false" ht="23.25" hidden="false" customHeight="true" outlineLevel="0" collapsed="false">
      <c r="A11" s="3" t="s">
        <v>406</v>
      </c>
      <c r="B11" s="3" t="s">
        <v>407</v>
      </c>
      <c r="C11" s="3" t="s">
        <v>408</v>
      </c>
      <c r="D11" s="3" t="s">
        <v>369</v>
      </c>
      <c r="E11" s="17" t="s">
        <v>409</v>
      </c>
      <c r="F11" s="3" t="s">
        <v>410</v>
      </c>
    </row>
    <row r="12" customFormat="false" ht="15" hidden="false" customHeight="true" outlineLevel="0" collapsed="false">
      <c r="A12" s="3" t="s">
        <v>411</v>
      </c>
      <c r="B12" s="3" t="s">
        <v>412</v>
      </c>
      <c r="C12" s="3" t="s">
        <v>413</v>
      </c>
      <c r="D12" s="3" t="s">
        <v>414</v>
      </c>
      <c r="E12" s="17" t="s">
        <v>368</v>
      </c>
      <c r="F12" s="3" t="s">
        <v>415</v>
      </c>
    </row>
    <row r="13" customFormat="false" ht="15" hidden="false" customHeight="true" outlineLevel="0" collapsed="false">
      <c r="A13" s="3" t="s">
        <v>416</v>
      </c>
      <c r="B13" s="3" t="s">
        <v>417</v>
      </c>
      <c r="C13" s="3" t="s">
        <v>418</v>
      </c>
      <c r="D13" s="3" t="s">
        <v>419</v>
      </c>
      <c r="E13" s="17" t="s">
        <v>368</v>
      </c>
      <c r="F13" s="3" t="s">
        <v>420</v>
      </c>
    </row>
    <row r="14" customFormat="false" ht="23.25" hidden="false" customHeight="true" outlineLevel="0" collapsed="false">
      <c r="A14" s="3" t="s">
        <v>421</v>
      </c>
      <c r="B14" s="3" t="s">
        <v>422</v>
      </c>
      <c r="C14" s="3" t="s">
        <v>423</v>
      </c>
      <c r="D14" s="3" t="s">
        <v>419</v>
      </c>
      <c r="E14" s="17" t="s">
        <v>368</v>
      </c>
      <c r="F14" s="3" t="s">
        <v>424</v>
      </c>
    </row>
    <row r="15" customFormat="false" ht="15" hidden="false" customHeight="true" outlineLevel="0" collapsed="false">
      <c r="A15" s="3" t="s">
        <v>425</v>
      </c>
      <c r="B15" s="3" t="s">
        <v>426</v>
      </c>
      <c r="C15" s="3" t="s">
        <v>427</v>
      </c>
      <c r="D15" s="3" t="s">
        <v>419</v>
      </c>
      <c r="E15" s="17" t="s">
        <v>368</v>
      </c>
      <c r="F15" s="3" t="s">
        <v>428</v>
      </c>
    </row>
    <row r="16" customFormat="false" ht="23.25" hidden="false" customHeight="true" outlineLevel="0" collapsed="false">
      <c r="A16" s="3" t="s">
        <v>429</v>
      </c>
      <c r="B16" s="3" t="s">
        <v>430</v>
      </c>
      <c r="C16" s="3" t="s">
        <v>431</v>
      </c>
      <c r="D16" s="16" t="s">
        <v>368</v>
      </c>
      <c r="E16" s="3" t="s">
        <v>369</v>
      </c>
      <c r="F16" s="3" t="s">
        <v>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6" min="5" style="0" width="30"/>
    <col collapsed="false" customWidth="true" hidden="false" outlineLevel="0" max="7" min="7" style="0" width="14"/>
    <col collapsed="false" customWidth="true" hidden="false" outlineLevel="0" max="8" min="8" style="0" width="50"/>
  </cols>
  <sheetData>
    <row r="1" customFormat="false" ht="15" hidden="false" customHeight="false" outlineLevel="0" collapsed="false">
      <c r="A1" s="2" t="s">
        <v>361</v>
      </c>
      <c r="B1" s="2" t="s">
        <v>433</v>
      </c>
      <c r="C1" s="2" t="s">
        <v>22</v>
      </c>
      <c r="D1" s="2" t="s">
        <v>434</v>
      </c>
      <c r="E1" s="2" t="s">
        <v>435</v>
      </c>
      <c r="F1" s="2" t="s">
        <v>436</v>
      </c>
      <c r="G1" s="2" t="s">
        <v>21</v>
      </c>
      <c r="H1" s="2" t="s">
        <v>257</v>
      </c>
    </row>
    <row r="2" customFormat="false" ht="15" hidden="false" customHeight="false" outlineLevel="0" collapsed="false">
      <c r="A2" s="18" t="s">
        <v>437</v>
      </c>
      <c r="B2" s="18"/>
      <c r="C2" s="18"/>
      <c r="D2" s="18"/>
      <c r="E2" s="18"/>
      <c r="F2" s="18"/>
      <c r="G2" s="18"/>
      <c r="H2" s="18"/>
    </row>
    <row r="3" customFormat="false" ht="35.05" hidden="false" customHeight="false" outlineLevel="0" collapsed="false">
      <c r="A3" s="3" t="s">
        <v>438</v>
      </c>
      <c r="B3" s="3" t="s">
        <v>439</v>
      </c>
      <c r="C3" s="19" t="s">
        <v>116</v>
      </c>
      <c r="D3" s="3" t="s">
        <v>440</v>
      </c>
      <c r="E3" s="3" t="s">
        <v>441</v>
      </c>
      <c r="F3" s="3" t="s">
        <v>160</v>
      </c>
      <c r="G3" s="3" t="s">
        <v>442</v>
      </c>
      <c r="H3" s="3" t="s">
        <v>443</v>
      </c>
    </row>
    <row r="4" customFormat="false" ht="35.05" hidden="false" customHeight="false" outlineLevel="0" collapsed="false">
      <c r="A4" s="3" t="s">
        <v>444</v>
      </c>
      <c r="B4" s="3" t="s">
        <v>439</v>
      </c>
      <c r="C4" s="19" t="s">
        <v>116</v>
      </c>
      <c r="D4" s="3" t="s">
        <v>445</v>
      </c>
      <c r="E4" s="3" t="s">
        <v>446</v>
      </c>
      <c r="F4" s="3" t="s">
        <v>447</v>
      </c>
      <c r="G4" s="3" t="s">
        <v>442</v>
      </c>
      <c r="H4" s="3" t="s">
        <v>448</v>
      </c>
    </row>
    <row r="5" customFormat="false" ht="23.85" hidden="false" customHeight="false" outlineLevel="0" collapsed="false">
      <c r="A5" s="3" t="s">
        <v>449</v>
      </c>
      <c r="B5" s="3" t="s">
        <v>450</v>
      </c>
      <c r="C5" s="19" t="s">
        <v>116</v>
      </c>
      <c r="D5" s="3" t="s">
        <v>440</v>
      </c>
      <c r="E5" s="3" t="s">
        <v>451</v>
      </c>
      <c r="F5" s="3" t="s">
        <v>452</v>
      </c>
      <c r="G5" s="3" t="s">
        <v>442</v>
      </c>
      <c r="H5" s="3" t="s">
        <v>453</v>
      </c>
    </row>
    <row r="6" customFormat="false" ht="35.05" hidden="false" customHeight="false" outlineLevel="0" collapsed="false">
      <c r="A6" s="3" t="s">
        <v>454</v>
      </c>
      <c r="B6" s="3" t="s">
        <v>439</v>
      </c>
      <c r="C6" s="19" t="s">
        <v>116</v>
      </c>
      <c r="D6" s="3" t="s">
        <v>455</v>
      </c>
      <c r="E6" s="3" t="s">
        <v>456</v>
      </c>
      <c r="F6" s="3" t="s">
        <v>457</v>
      </c>
      <c r="G6" s="3" t="s">
        <v>442</v>
      </c>
      <c r="H6" s="3" t="s">
        <v>458</v>
      </c>
    </row>
    <row r="7" customFormat="false" ht="15" hidden="false" customHeight="false" outlineLevel="0" collapsed="false">
      <c r="A7" s="18" t="s">
        <v>459</v>
      </c>
      <c r="B7" s="18"/>
      <c r="C7" s="18"/>
      <c r="D7" s="18"/>
      <c r="E7" s="18"/>
      <c r="F7" s="18"/>
      <c r="G7" s="18"/>
      <c r="H7" s="18"/>
    </row>
    <row r="8" customFormat="false" ht="35.05" hidden="false" customHeight="false" outlineLevel="0" collapsed="false">
      <c r="A8" s="3" t="s">
        <v>460</v>
      </c>
      <c r="B8" s="3" t="s">
        <v>439</v>
      </c>
      <c r="C8" s="20" t="s">
        <v>57</v>
      </c>
      <c r="D8" s="3" t="s">
        <v>445</v>
      </c>
      <c r="E8" s="3" t="s">
        <v>461</v>
      </c>
      <c r="F8" s="3" t="s">
        <v>462</v>
      </c>
      <c r="G8" s="3" t="s">
        <v>442</v>
      </c>
      <c r="H8" s="3" t="s">
        <v>463</v>
      </c>
    </row>
    <row r="9" customFormat="false" ht="35.05" hidden="false" customHeight="false" outlineLevel="0" collapsed="false">
      <c r="A9" s="3" t="s">
        <v>464</v>
      </c>
      <c r="B9" s="3" t="s">
        <v>439</v>
      </c>
      <c r="C9" s="20" t="s">
        <v>57</v>
      </c>
      <c r="D9" s="3" t="s">
        <v>445</v>
      </c>
      <c r="E9" s="3" t="s">
        <v>465</v>
      </c>
      <c r="F9" s="3" t="s">
        <v>466</v>
      </c>
      <c r="G9" s="3" t="s">
        <v>442</v>
      </c>
      <c r="H9" s="3" t="s">
        <v>467</v>
      </c>
    </row>
    <row r="10" customFormat="false" ht="35.05" hidden="false" customHeight="false" outlineLevel="0" collapsed="false">
      <c r="A10" s="3" t="s">
        <v>468</v>
      </c>
      <c r="B10" s="3" t="s">
        <v>439</v>
      </c>
      <c r="C10" s="20" t="s">
        <v>57</v>
      </c>
      <c r="D10" s="3" t="s">
        <v>445</v>
      </c>
      <c r="E10" s="3" t="s">
        <v>469</v>
      </c>
      <c r="F10" s="3" t="s">
        <v>470</v>
      </c>
      <c r="G10" s="3" t="s">
        <v>442</v>
      </c>
      <c r="H10" s="3" t="s">
        <v>471</v>
      </c>
    </row>
    <row r="11" customFormat="false" ht="35.05" hidden="false" customHeight="false" outlineLevel="0" collapsed="false">
      <c r="A11" s="3" t="s">
        <v>472</v>
      </c>
      <c r="B11" s="3" t="s">
        <v>439</v>
      </c>
      <c r="C11" s="20" t="s">
        <v>57</v>
      </c>
      <c r="D11" s="3" t="s">
        <v>455</v>
      </c>
      <c r="E11" s="3" t="s">
        <v>473</v>
      </c>
      <c r="F11" s="3" t="s">
        <v>474</v>
      </c>
      <c r="G11" s="3" t="s">
        <v>442</v>
      </c>
      <c r="H11" s="3" t="s">
        <v>475</v>
      </c>
    </row>
    <row r="12" customFormat="false" ht="35.05" hidden="false" customHeight="false" outlineLevel="0" collapsed="false">
      <c r="A12" s="3" t="s">
        <v>476</v>
      </c>
      <c r="B12" s="3" t="s">
        <v>477</v>
      </c>
      <c r="C12" s="20" t="s">
        <v>57</v>
      </c>
      <c r="D12" s="3" t="s">
        <v>445</v>
      </c>
      <c r="E12" s="3" t="s">
        <v>478</v>
      </c>
      <c r="F12" s="3" t="s">
        <v>479</v>
      </c>
      <c r="G12" s="3" t="s">
        <v>442</v>
      </c>
      <c r="H12" s="3" t="s">
        <v>480</v>
      </c>
    </row>
    <row r="13" customFormat="false" ht="15" hidden="false" customHeight="false" outlineLevel="0" collapsed="false">
      <c r="A13" s="18" t="s">
        <v>481</v>
      </c>
      <c r="B13" s="18"/>
      <c r="C13" s="18"/>
      <c r="D13" s="18"/>
      <c r="E13" s="18"/>
      <c r="F13" s="18"/>
      <c r="G13" s="18"/>
      <c r="H13" s="18"/>
    </row>
    <row r="14" customFormat="false" ht="35.05" hidden="false" customHeight="false" outlineLevel="0" collapsed="false">
      <c r="A14" s="3" t="s">
        <v>482</v>
      </c>
      <c r="B14" s="3" t="s">
        <v>439</v>
      </c>
      <c r="C14" s="17" t="s">
        <v>72</v>
      </c>
      <c r="D14" s="3" t="s">
        <v>440</v>
      </c>
      <c r="E14" s="3" t="s">
        <v>483</v>
      </c>
      <c r="F14" s="3" t="s">
        <v>484</v>
      </c>
      <c r="G14" s="3" t="s">
        <v>442</v>
      </c>
      <c r="H14" s="3" t="s">
        <v>485</v>
      </c>
    </row>
    <row r="15" customFormat="false" ht="23.85" hidden="false" customHeight="false" outlineLevel="0" collapsed="false">
      <c r="A15" s="3" t="s">
        <v>486</v>
      </c>
      <c r="B15" s="3" t="s">
        <v>439</v>
      </c>
      <c r="C15" s="17" t="s">
        <v>72</v>
      </c>
      <c r="D15" s="3" t="s">
        <v>445</v>
      </c>
      <c r="E15" s="3" t="s">
        <v>487</v>
      </c>
      <c r="F15" s="3" t="s">
        <v>488</v>
      </c>
      <c r="G15" s="3" t="s">
        <v>442</v>
      </c>
      <c r="H15" s="3" t="s">
        <v>489</v>
      </c>
    </row>
    <row r="16" customFormat="false" ht="35.05" hidden="false" customHeight="false" outlineLevel="0" collapsed="false">
      <c r="A16" s="3" t="s">
        <v>490</v>
      </c>
      <c r="B16" s="3" t="s">
        <v>439</v>
      </c>
      <c r="C16" s="17" t="s">
        <v>72</v>
      </c>
      <c r="D16" s="3" t="s">
        <v>491</v>
      </c>
      <c r="E16" s="3" t="s">
        <v>492</v>
      </c>
      <c r="F16" s="3" t="s">
        <v>493</v>
      </c>
      <c r="G16" s="3" t="s">
        <v>442</v>
      </c>
      <c r="H16" s="3" t="s">
        <v>494</v>
      </c>
    </row>
    <row r="17" customFormat="false" ht="23.85" hidden="false" customHeight="false" outlineLevel="0" collapsed="false">
      <c r="A17" s="18" t="s">
        <v>495</v>
      </c>
      <c r="B17" s="18"/>
      <c r="C17" s="18"/>
      <c r="D17" s="18"/>
      <c r="E17" s="18"/>
      <c r="F17" s="18"/>
      <c r="G17" s="18"/>
      <c r="H17" s="18"/>
    </row>
    <row r="18" customFormat="false" ht="35.05" hidden="false" customHeight="false" outlineLevel="0" collapsed="false">
      <c r="A18" s="3" t="s">
        <v>496</v>
      </c>
      <c r="B18" s="3" t="s">
        <v>439</v>
      </c>
      <c r="C18" s="21" t="s">
        <v>101</v>
      </c>
      <c r="D18" s="3" t="s">
        <v>491</v>
      </c>
      <c r="E18" s="3" t="s">
        <v>497</v>
      </c>
      <c r="F18" s="3" t="s">
        <v>498</v>
      </c>
      <c r="G18" s="3" t="s">
        <v>442</v>
      </c>
      <c r="H18" s="3" t="s">
        <v>499</v>
      </c>
    </row>
    <row r="19" customFormat="false" ht="35.05" hidden="false" customHeight="false" outlineLevel="0" collapsed="false">
      <c r="A19" s="3" t="s">
        <v>500</v>
      </c>
      <c r="B19" s="3" t="s">
        <v>439</v>
      </c>
      <c r="C19" s="21" t="s">
        <v>101</v>
      </c>
      <c r="D19" s="3" t="s">
        <v>491</v>
      </c>
      <c r="E19" s="3" t="s">
        <v>501</v>
      </c>
      <c r="F19" s="3" t="s">
        <v>502</v>
      </c>
      <c r="G19" s="3" t="s">
        <v>442</v>
      </c>
      <c r="H19" s="3" t="s">
        <v>503</v>
      </c>
    </row>
    <row r="20" customFormat="false" ht="35.05" hidden="false" customHeight="false" outlineLevel="0" collapsed="false">
      <c r="A20" s="3" t="s">
        <v>504</v>
      </c>
      <c r="B20" s="3" t="s">
        <v>439</v>
      </c>
      <c r="C20" s="21" t="s">
        <v>101</v>
      </c>
      <c r="D20" s="3" t="s">
        <v>440</v>
      </c>
      <c r="E20" s="3" t="s">
        <v>505</v>
      </c>
      <c r="F20" s="3" t="s">
        <v>468</v>
      </c>
      <c r="G20" s="3" t="s">
        <v>442</v>
      </c>
      <c r="H20" s="3" t="s">
        <v>506</v>
      </c>
    </row>
    <row r="21" customFormat="false" ht="23.85" hidden="false" customHeight="false" outlineLevel="0" collapsed="false">
      <c r="A21" s="3" t="s">
        <v>507</v>
      </c>
      <c r="B21" s="3" t="s">
        <v>439</v>
      </c>
      <c r="C21" s="21" t="s">
        <v>101</v>
      </c>
      <c r="D21" s="3" t="s">
        <v>455</v>
      </c>
      <c r="E21" s="3" t="s">
        <v>508</v>
      </c>
      <c r="F21" s="3" t="s">
        <v>509</v>
      </c>
      <c r="G21" s="3" t="s">
        <v>442</v>
      </c>
      <c r="H21" s="3"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2026-02-22T18:33:19Z</dcterms:created>
  <dc:creator>openpyxl</dc:creator>
  <dc:description/>
  <dc:language>en-US</dc:language>
  <cp:lastModifiedBy/>
  <dcterms:modified xsi:type="dcterms:W3CDTF">2026-02-22T19:24:53Z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